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ziehealy/Desktop/DSAN_5550/Final Project/Greener_Pastures/data/"/>
    </mc:Choice>
  </mc:AlternateContent>
  <xr:revisionPtr revIDLastSave="0" documentId="13_ncr:1_{5BB27038-5D6E-C248-9833-9F39354DA950}" xr6:coauthVersionLast="47" xr6:coauthVersionMax="47" xr10:uidLastSave="{00000000-0000-0000-0000-000000000000}"/>
  <bookViews>
    <workbookView xWindow="1000" yWindow="760" windowWidth="24180" windowHeight="16940" activeTab="1" xr2:uid="{16D2807D-6AD2-1A4E-AFC7-3D315D1119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8" i="2" l="1"/>
  <c r="L118" i="2"/>
  <c r="M115" i="2"/>
  <c r="L115" i="2"/>
  <c r="J116" i="2"/>
  <c r="K115" i="2"/>
  <c r="J115" i="2"/>
  <c r="K113" i="2"/>
  <c r="J113" i="2"/>
  <c r="K101" i="2"/>
  <c r="J101" i="2"/>
  <c r="K94" i="2"/>
  <c r="J94" i="2"/>
  <c r="K88" i="2"/>
  <c r="J88" i="2"/>
  <c r="K83" i="2"/>
  <c r="J83" i="2"/>
  <c r="K77" i="2"/>
  <c r="J77" i="2"/>
  <c r="K68" i="2"/>
  <c r="J68" i="2"/>
  <c r="K59" i="2"/>
  <c r="J59" i="2"/>
  <c r="K51" i="2"/>
  <c r="J51" i="2"/>
  <c r="K37" i="2"/>
  <c r="J37" i="2"/>
  <c r="K28" i="2"/>
  <c r="J28" i="2"/>
  <c r="K19" i="2"/>
  <c r="J19" i="2"/>
  <c r="K12" i="2"/>
  <c r="J12" i="2"/>
  <c r="K4" i="2" l="1"/>
  <c r="J4" i="2"/>
</calcChain>
</file>

<file path=xl/sharedStrings.xml><?xml version="1.0" encoding="utf-8"?>
<sst xmlns="http://schemas.openxmlformats.org/spreadsheetml/2006/main" count="1194" uniqueCount="395">
  <si>
    <t>Address</t>
  </si>
  <si>
    <t>Last Name</t>
  </si>
  <si>
    <t>Driver</t>
  </si>
  <si>
    <t>Time</t>
  </si>
  <si>
    <t>Date</t>
  </si>
  <si>
    <t>Route #</t>
  </si>
  <si>
    <t>Gallagher</t>
  </si>
  <si>
    <t>500 Fox Chase Ln</t>
  </si>
  <si>
    <t>City</t>
  </si>
  <si>
    <t>Media</t>
  </si>
  <si>
    <t>Judy</t>
  </si>
  <si>
    <t>Antonello</t>
  </si>
  <si>
    <t>128 Millbrook Ln</t>
  </si>
  <si>
    <t>Tyson</t>
  </si>
  <si>
    <t>24 Penn Charter Dr</t>
  </si>
  <si>
    <t>Davis</t>
  </si>
  <si>
    <t>535 Gradyville Rd</t>
  </si>
  <si>
    <t>Newtown Sqare</t>
  </si>
  <si>
    <t>Chikowski</t>
  </si>
  <si>
    <t>125 Wilton Woods Ln</t>
  </si>
  <si>
    <t>Paterson</t>
  </si>
  <si>
    <t>31 North Feathering Ln</t>
  </si>
  <si>
    <t>Notes</t>
  </si>
  <si>
    <t>6 pieces</t>
  </si>
  <si>
    <t>Planter</t>
  </si>
  <si>
    <t>McAndrew</t>
  </si>
  <si>
    <t>418 Ravenscliff Dr</t>
  </si>
  <si>
    <t>Nguyen</t>
  </si>
  <si>
    <t>140 W Rose Tree Rd</t>
  </si>
  <si>
    <t>Shields</t>
  </si>
  <si>
    <t>80 Old Mill Drive</t>
  </si>
  <si>
    <t>Malkoun</t>
  </si>
  <si>
    <t>672 N Heilbron Drive</t>
  </si>
  <si>
    <t>2 Planters</t>
  </si>
  <si>
    <t>Mullen</t>
  </si>
  <si>
    <t>675 Park Avenue</t>
  </si>
  <si>
    <t>Curran</t>
  </si>
  <si>
    <t>401 S New Middletown Rd</t>
  </si>
  <si>
    <t>Timblin</t>
  </si>
  <si>
    <t>5 Sackville Lane</t>
  </si>
  <si>
    <t>Rose Valley</t>
  </si>
  <si>
    <t>Ben</t>
  </si>
  <si>
    <t>MacDonald</t>
  </si>
  <si>
    <t>19 Highpoint Drive 1</t>
  </si>
  <si>
    <t>Bedwell</t>
  </si>
  <si>
    <t>2 Brookside Road</t>
  </si>
  <si>
    <t>Wallingford</t>
  </si>
  <si>
    <t>Bridge</t>
  </si>
  <si>
    <t>51 Rampart E</t>
  </si>
  <si>
    <t>Kelly</t>
  </si>
  <si>
    <t>218 Mystic Lane</t>
  </si>
  <si>
    <t>May</t>
  </si>
  <si>
    <t>120 W Rose Valley Rd</t>
  </si>
  <si>
    <t>Laurento</t>
  </si>
  <si>
    <t>123 Bortondale Rd</t>
  </si>
  <si>
    <t>Hanser</t>
  </si>
  <si>
    <t>44 W Dartmouth Circle</t>
  </si>
  <si>
    <t>Led</t>
  </si>
  <si>
    <t>1 Rosehill Rd</t>
  </si>
  <si>
    <t>Orchid</t>
  </si>
  <si>
    <t>Hanish</t>
  </si>
  <si>
    <t>355A Old Middletown Rd</t>
  </si>
  <si>
    <t>Lankford</t>
  </si>
  <si>
    <t>45 Spring House Lane</t>
  </si>
  <si>
    <t>Calla</t>
  </si>
  <si>
    <t>Hansen</t>
  </si>
  <si>
    <t>30 Springhouse Lane</t>
  </si>
  <si>
    <t>Galati</t>
  </si>
  <si>
    <t>707 Kent Road</t>
  </si>
  <si>
    <t>Woodbury</t>
  </si>
  <si>
    <t>445 South Old Middletown Rd</t>
  </si>
  <si>
    <t>Lamberson</t>
  </si>
  <si>
    <t>727 Iris Lane</t>
  </si>
  <si>
    <t>Clinton</t>
  </si>
  <si>
    <t>440 Osage Lane</t>
  </si>
  <si>
    <t>Ashenfelter</t>
  </si>
  <si>
    <t>1 Kelly Lane</t>
  </si>
  <si>
    <t>Koyama</t>
  </si>
  <si>
    <t>613 School Lane</t>
  </si>
  <si>
    <t>Draper</t>
  </si>
  <si>
    <t>336 Catch Penny Lane</t>
  </si>
  <si>
    <t>Card</t>
  </si>
  <si>
    <t>Fronduti</t>
  </si>
  <si>
    <t>400 Olde House Lane</t>
  </si>
  <si>
    <t>Christensen</t>
  </si>
  <si>
    <t>1048 W Baltimore Pike</t>
  </si>
  <si>
    <t>Marty</t>
  </si>
  <si>
    <t>Gatter</t>
  </si>
  <si>
    <t>1343 W Baltimore Pike</t>
  </si>
  <si>
    <t>Fantini</t>
  </si>
  <si>
    <t>206 Walnut Place</t>
  </si>
  <si>
    <t>Havertown</t>
  </si>
  <si>
    <t>Christie</t>
  </si>
  <si>
    <t>1422 Palmer Dr</t>
  </si>
  <si>
    <t>Springfield</t>
  </si>
  <si>
    <t>McKnight</t>
  </si>
  <si>
    <t>24 Locust Rd</t>
  </si>
  <si>
    <t>Finegan</t>
  </si>
  <si>
    <t>40 Barren Rd</t>
  </si>
  <si>
    <t>Passo</t>
  </si>
  <si>
    <t>72 Wharton Dr</t>
  </si>
  <si>
    <t>Glen Mills</t>
  </si>
  <si>
    <t>Gray</t>
  </si>
  <si>
    <t>1235 Providence Rd</t>
  </si>
  <si>
    <t>129 Grandview Rd</t>
  </si>
  <si>
    <t>Batten</t>
  </si>
  <si>
    <t>1103 Cable Hill Dr</t>
  </si>
  <si>
    <t>Kuo</t>
  </si>
  <si>
    <t>1109 Baltimore Pike</t>
  </si>
  <si>
    <t>Taraila</t>
  </si>
  <si>
    <t>6953 Green Hill Rd</t>
  </si>
  <si>
    <t>Philadelphia</t>
  </si>
  <si>
    <t>Rea</t>
  </si>
  <si>
    <t>429 Matrissa Ridge</t>
  </si>
  <si>
    <t>Thomas</t>
  </si>
  <si>
    <t>1820 Spring Valley Dr</t>
  </si>
  <si>
    <t>Crawford</t>
  </si>
  <si>
    <t>3711 Berry Ave</t>
  </si>
  <si>
    <t>Drexel Hill</t>
  </si>
  <si>
    <t>Benson</t>
  </si>
  <si>
    <t>132 Alverstone Rd</t>
  </si>
  <si>
    <t>Clifton Heights</t>
  </si>
  <si>
    <t>Lauro</t>
  </si>
  <si>
    <t>810 Naylors Run Rd</t>
  </si>
  <si>
    <t>308 Lynn Rd</t>
  </si>
  <si>
    <t>Morrison</t>
  </si>
  <si>
    <t>Lawrie</t>
  </si>
  <si>
    <t>1693 Cold Spring Rd</t>
  </si>
  <si>
    <t>Newtown Square</t>
  </si>
  <si>
    <t>McNichol</t>
  </si>
  <si>
    <t>306 Stanley Ave</t>
  </si>
  <si>
    <t>Amato</t>
  </si>
  <si>
    <t>109 Winter St</t>
  </si>
  <si>
    <t>Patti</t>
  </si>
  <si>
    <t>Walker</t>
  </si>
  <si>
    <t>26 W 6th St</t>
  </si>
  <si>
    <t>30 E Franklin St</t>
  </si>
  <si>
    <t>Blessed M</t>
  </si>
  <si>
    <t>7 pieces</t>
  </si>
  <si>
    <t>White</t>
  </si>
  <si>
    <t>117 East 4th St</t>
  </si>
  <si>
    <t>Rafailidis</t>
  </si>
  <si>
    <t>800 Ridge Ln</t>
  </si>
  <si>
    <t>2 pieces</t>
  </si>
  <si>
    <t>Biscoe</t>
  </si>
  <si>
    <t>316 South Plum St</t>
  </si>
  <si>
    <t>Carroll</t>
  </si>
  <si>
    <t>137 Winter St</t>
  </si>
  <si>
    <t>Malloy</t>
  </si>
  <si>
    <t>629 N Monroe St</t>
  </si>
  <si>
    <t>Kotch</t>
  </si>
  <si>
    <t>3 Cherry St</t>
  </si>
  <si>
    <t>McCredie</t>
  </si>
  <si>
    <t>501 E 23rd St</t>
  </si>
  <si>
    <t>Chester</t>
  </si>
  <si>
    <t>Luke</t>
  </si>
  <si>
    <t>Browning</t>
  </si>
  <si>
    <t>30 S Longpoint Lane</t>
  </si>
  <si>
    <t>Parker</t>
  </si>
  <si>
    <t>207 Turner Rd</t>
  </si>
  <si>
    <t>Coqueron</t>
  </si>
  <si>
    <t>105 Waterford Circle</t>
  </si>
  <si>
    <t>Dixon</t>
  </si>
  <si>
    <t>117 Pennock Place</t>
  </si>
  <si>
    <t>Vakil</t>
  </si>
  <si>
    <t>690 Meadowbrooke Lane</t>
  </si>
  <si>
    <t>Moylan</t>
  </si>
  <si>
    <t>Cronan</t>
  </si>
  <si>
    <t>144 Traymore Lane</t>
  </si>
  <si>
    <t>Gorobitz</t>
  </si>
  <si>
    <t>28 Brookside Rd</t>
  </si>
  <si>
    <t>Purdy</t>
  </si>
  <si>
    <t>18 Brookview Lane</t>
  </si>
  <si>
    <t>Mylar</t>
  </si>
  <si>
    <t>Bensel</t>
  </si>
  <si>
    <t>306 Barry Lane</t>
  </si>
  <si>
    <t>Spangler</t>
  </si>
  <si>
    <t>7 Hilltop Rd</t>
  </si>
  <si>
    <t>Cirilli</t>
  </si>
  <si>
    <t>323 Palmers Lane</t>
  </si>
  <si>
    <t>Tustin</t>
  </si>
  <si>
    <t>137 Winter Street</t>
  </si>
  <si>
    <t>Pat</t>
  </si>
  <si>
    <t>Kyne</t>
  </si>
  <si>
    <t>500 Sandy Bank Rd</t>
  </si>
  <si>
    <t>117 E 4th St</t>
  </si>
  <si>
    <t>Byrne</t>
  </si>
  <si>
    <t>DeWerth</t>
  </si>
  <si>
    <t>29 W Fourth St</t>
  </si>
  <si>
    <t>Lamendola</t>
  </si>
  <si>
    <t>315 N Monroe St</t>
  </si>
  <si>
    <t>Englefield</t>
  </si>
  <si>
    <t>614 N Lemon St</t>
  </si>
  <si>
    <t>Blagman</t>
  </si>
  <si>
    <t>318 S Orange St</t>
  </si>
  <si>
    <t>Maskornick</t>
  </si>
  <si>
    <t>403 S Providence Rd</t>
  </si>
  <si>
    <t>Jake</t>
  </si>
  <si>
    <t>Dolphin</t>
  </si>
  <si>
    <t>1 Blackthorn Rd</t>
  </si>
  <si>
    <t>G</t>
  </si>
  <si>
    <t>709 Windsor Place</t>
  </si>
  <si>
    <t>Long</t>
  </si>
  <si>
    <t>812 Harvey Rd</t>
  </si>
  <si>
    <t>McAndrews</t>
  </si>
  <si>
    <t>613 Wilder Rd</t>
  </si>
  <si>
    <t>Daly</t>
  </si>
  <si>
    <t>113 Beech Rd</t>
  </si>
  <si>
    <t>Benner</t>
  </si>
  <si>
    <t>1094 Palmers Mill Rd</t>
  </si>
  <si>
    <t>Cosselin</t>
  </si>
  <si>
    <t>800 Avondale Rd</t>
  </si>
  <si>
    <t>Winderman</t>
  </si>
  <si>
    <t>1383 Cedar Groove Rd</t>
  </si>
  <si>
    <t>Smedley</t>
  </si>
  <si>
    <t>100 Halycon Drive</t>
  </si>
  <si>
    <t>Mariana</t>
  </si>
  <si>
    <t>Wright</t>
  </si>
  <si>
    <t>1236 Hunt Club Lane</t>
  </si>
  <si>
    <t>McCracken</t>
  </si>
  <si>
    <t>Rabinowitz</t>
  </si>
  <si>
    <t>10 Gearys Lane</t>
  </si>
  <si>
    <t>Yu</t>
  </si>
  <si>
    <t>20 Dundee Mews</t>
  </si>
  <si>
    <t>Chermol</t>
  </si>
  <si>
    <t>100 Walter Mill Lane</t>
  </si>
  <si>
    <t>Hill</t>
  </si>
  <si>
    <t>509 Glenwood Ave</t>
  </si>
  <si>
    <t>Christodouleas</t>
  </si>
  <si>
    <t>6 Village Greens Lane</t>
  </si>
  <si>
    <t>Swarthmore</t>
  </si>
  <si>
    <t>Hanging basket</t>
  </si>
  <si>
    <t>801 Yale Ave</t>
  </si>
  <si>
    <t>Dolente</t>
  </si>
  <si>
    <t>444 W Baltimore Ave</t>
  </si>
  <si>
    <t>O'Reilly</t>
  </si>
  <si>
    <t>509 Drew Ave</t>
  </si>
  <si>
    <t>McNally</t>
  </si>
  <si>
    <t>221 Moylan Ave</t>
  </si>
  <si>
    <t>Olivia</t>
  </si>
  <si>
    <t>Drott</t>
  </si>
  <si>
    <t>629 Strath Haven Ave</t>
  </si>
  <si>
    <t>Ferguson</t>
  </si>
  <si>
    <t>12 Azalea Lane</t>
  </si>
  <si>
    <t>Miller</t>
  </si>
  <si>
    <t>565 Rosemary Circle</t>
  </si>
  <si>
    <t>Heilburn</t>
  </si>
  <si>
    <t>Coulston</t>
  </si>
  <si>
    <t>6 Foxcroft Lane</t>
  </si>
  <si>
    <t>Martelli</t>
  </si>
  <si>
    <t>530 South Heilbron Dr</t>
  </si>
  <si>
    <t>Fernandez-Zupa</t>
  </si>
  <si>
    <t>116 Bortondale Rd</t>
  </si>
  <si>
    <t>Mergott</t>
  </si>
  <si>
    <t>14 Linden Ave</t>
  </si>
  <si>
    <t>Rutledge</t>
  </si>
  <si>
    <t>Ralphe</t>
  </si>
  <si>
    <t>1919 Armstrong Ave</t>
  </si>
  <si>
    <t>Morton</t>
  </si>
  <si>
    <t>Wrap</t>
  </si>
  <si>
    <t>Starr</t>
  </si>
  <si>
    <t>501 Plush Mill Rd</t>
  </si>
  <si>
    <t>O'Donnell</t>
  </si>
  <si>
    <t>296 Highland Ave</t>
  </si>
  <si>
    <t>Hanging Basket</t>
  </si>
  <si>
    <t>Cummings</t>
  </si>
  <si>
    <t>533 Bobbin Mill Rd</t>
  </si>
  <si>
    <t>Dennis-Wiley</t>
  </si>
  <si>
    <t>Brett</t>
  </si>
  <si>
    <t>200 Emerald Ln</t>
  </si>
  <si>
    <t>Balloon</t>
  </si>
  <si>
    <t>Free</t>
  </si>
  <si>
    <t>908 Mt Holyoke Place</t>
  </si>
  <si>
    <t xml:space="preserve">Swarthmore </t>
  </si>
  <si>
    <t>Welden</t>
  </si>
  <si>
    <t>45 Dogwood Lane</t>
  </si>
  <si>
    <t>Worrilow</t>
  </si>
  <si>
    <t>107 Judith Lane</t>
  </si>
  <si>
    <t>Dwyer</t>
  </si>
  <si>
    <t>Gatch</t>
  </si>
  <si>
    <t>732 Pine Ridge Rd</t>
  </si>
  <si>
    <t>Soricelli</t>
  </si>
  <si>
    <t>310 Crum Creek Rd</t>
  </si>
  <si>
    <t>Angelus</t>
  </si>
  <si>
    <t>312 Woodridge Lane</t>
  </si>
  <si>
    <t>Calla 2 pieces</t>
  </si>
  <si>
    <t>Cacciutti</t>
  </si>
  <si>
    <t>100 Woodhill Lane</t>
  </si>
  <si>
    <t>Contoris</t>
  </si>
  <si>
    <t>Rosen</t>
  </si>
  <si>
    <t>221 Harvard Ave</t>
  </si>
  <si>
    <t>Brown</t>
  </si>
  <si>
    <t>733 Hemlock Rd</t>
  </si>
  <si>
    <t>Ackerman</t>
  </si>
  <si>
    <t>306 Union Ave</t>
  </si>
  <si>
    <t>Sanders</t>
  </si>
  <si>
    <t>1120 Roberts Rd</t>
  </si>
  <si>
    <t>Kozub</t>
  </si>
  <si>
    <t>103 President Ave</t>
  </si>
  <si>
    <t>Evans</t>
  </si>
  <si>
    <t>323 S Chester Rd</t>
  </si>
  <si>
    <t>Albrecht</t>
  </si>
  <si>
    <t>205 Hidden Acres Ln</t>
  </si>
  <si>
    <t>Pagliaro</t>
  </si>
  <si>
    <t>536 Odgen Ave</t>
  </si>
  <si>
    <t>Sereni</t>
  </si>
  <si>
    <t>Bob</t>
  </si>
  <si>
    <t>Testaiuti</t>
  </si>
  <si>
    <t>7 Frog Hollow Lane</t>
  </si>
  <si>
    <t>21 Running Springs Lane</t>
  </si>
  <si>
    <t>226 Aucott Rd</t>
  </si>
  <si>
    <t>Brookhaven</t>
  </si>
  <si>
    <t>Baker</t>
  </si>
  <si>
    <t>2100 N Providence Rd</t>
  </si>
  <si>
    <t>Reynolds</t>
  </si>
  <si>
    <t>30 E Baltimore Ave</t>
  </si>
  <si>
    <t>Matteucci</t>
  </si>
  <si>
    <t>38 Country Village Way</t>
  </si>
  <si>
    <t>148 Springton Lake Rd</t>
  </si>
  <si>
    <t>DeFer</t>
  </si>
  <si>
    <t>2441 Martingale Rd</t>
  </si>
  <si>
    <t>Webber</t>
  </si>
  <si>
    <t>3116 Woods Edge Dr</t>
  </si>
  <si>
    <t>Garnet Valley</t>
  </si>
  <si>
    <t>Gianakopoulos</t>
  </si>
  <si>
    <t>2315 Hillside Lane</t>
  </si>
  <si>
    <t>Aston</t>
  </si>
  <si>
    <t>Eline</t>
  </si>
  <si>
    <t>500 Fox Chase Lane</t>
  </si>
  <si>
    <t>1650 Highpoint Lane</t>
  </si>
  <si>
    <t>Gibson</t>
  </si>
  <si>
    <t>472 Jacques Lane</t>
  </si>
  <si>
    <t>Phillips</t>
  </si>
  <si>
    <t>Raffaele</t>
  </si>
  <si>
    <t>5 Saddle Run</t>
  </si>
  <si>
    <t>643 Darlington Rd</t>
  </si>
  <si>
    <t>Parkinson</t>
  </si>
  <si>
    <t>1881 Kimberwick Rd</t>
  </si>
  <si>
    <t>Gerardi</t>
  </si>
  <si>
    <t>138 Lakeview Dr</t>
  </si>
  <si>
    <t>Castellano</t>
  </si>
  <si>
    <t>66 Bishops Dr</t>
  </si>
  <si>
    <t>1009 N Phipps Woods Court</t>
  </si>
  <si>
    <t>McBreen</t>
  </si>
  <si>
    <t>130 Appletree Dr</t>
  </si>
  <si>
    <t>Dotts</t>
  </si>
  <si>
    <t>152 Bishops Dr</t>
  </si>
  <si>
    <t>112 Dam View Dr</t>
  </si>
  <si>
    <t>North</t>
  </si>
  <si>
    <t>Dever</t>
  </si>
  <si>
    <t>Barnes</t>
  </si>
  <si>
    <t>Bonner</t>
  </si>
  <si>
    <t>Clark</t>
  </si>
  <si>
    <t>411 Middletown Rd</t>
  </si>
  <si>
    <t>Slade</t>
  </si>
  <si>
    <t>Wick</t>
  </si>
  <si>
    <t>Kernek</t>
  </si>
  <si>
    <t>100 Halycon Dr</t>
  </si>
  <si>
    <t>Thal</t>
  </si>
  <si>
    <t>314 Earles Lane</t>
  </si>
  <si>
    <t>Newtown Sqaure</t>
  </si>
  <si>
    <t>806 Saint Francis Dr</t>
  </si>
  <si>
    <t>Broomall</t>
  </si>
  <si>
    <t>Horne</t>
  </si>
  <si>
    <t>Dangelo</t>
  </si>
  <si>
    <t>Quigley</t>
  </si>
  <si>
    <t>Peet</t>
  </si>
  <si>
    <t>Golder</t>
  </si>
  <si>
    <t>340 Middletown Rd</t>
  </si>
  <si>
    <t>Obando</t>
  </si>
  <si>
    <t>145 Lakeview Dr</t>
  </si>
  <si>
    <t>Joe</t>
  </si>
  <si>
    <t>McHugh</t>
  </si>
  <si>
    <t>316 Josephs Way</t>
  </si>
  <si>
    <t>Day</t>
  </si>
  <si>
    <t>1024 Palmers Mill Rd</t>
  </si>
  <si>
    <t>Hanging Bakset</t>
  </si>
  <si>
    <t>Puskar</t>
  </si>
  <si>
    <t>91 Skylar Circle</t>
  </si>
  <si>
    <t>Devine</t>
  </si>
  <si>
    <t>Larkin</t>
  </si>
  <si>
    <t>129 Springton Mews Circle</t>
  </si>
  <si>
    <t>Murray</t>
  </si>
  <si>
    <t>317 S Bobbin Mill Lane</t>
  </si>
  <si>
    <t>Bilotta</t>
  </si>
  <si>
    <t>13 Skylar Circle</t>
  </si>
  <si>
    <t>55 Pennell Rd</t>
  </si>
  <si>
    <t>Miles</t>
  </si>
  <si>
    <t>Tot Miles</t>
  </si>
  <si>
    <t>Total Time</t>
  </si>
  <si>
    <t>w/ MF</t>
  </si>
  <si>
    <t>Distance</t>
  </si>
  <si>
    <t>w/o MF</t>
  </si>
  <si>
    <t>*w/ MF means I include driving from Media Florist at beginning of delivery trip</t>
  </si>
  <si>
    <t>and returning to Media Florist at end of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</si>
</sst>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0" fontId="0" fillId="0" borderId="0" xfId="0" applyNumberFormat="1"/>
    <xf numFmtId="16" fontId="0" fillId="0" borderId="0" xfId="0" applyNumberFormat="1"/>
    <xf numFmtId="0" fontId="0" fillId="2" borderId="0" xfId="0" applyFill="1"/>
    <xf numFmtId="16" fontId="0" fillId="2" borderId="0" xfId="0" applyNumberFormat="1" applyFill="1"/>
    <xf numFmtId="20" fontId="0" fillId="2" borderId="0" xfId="0" applyNumberFormat="1" applyFill="1"/>
    <xf numFmtId="20" fontId="2" fillId="2" borderId="0" xfId="0" applyNumberFormat="1" applyFont="1" applyFill="1"/>
    <xf numFmtId="0" fontId="1" fillId="0" borderId="1" xfId="0" applyFont="1" applyBorder="1"/>
    <xf numFmtId="0" fontId="0" fillId="0" borderId="1" xfId="0" applyBorder="1"/>
    <xf numFmtId="0" fontId="0" fillId="0" borderId="0" xfId="0" applyFill="1" applyBorder="1"/>
    <xf numFmtId="0" fontId="3" fillId="0" borderId="0" xfId="0" applyFont="1"/>
    <xf numFmtId="0" fontId="3" fillId="0" borderId="1" xfId="0" applyFont="1" applyBorder="1"/>
    <xf numFmtId="0" fontId="1" fillId="0" borderId="3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2DDB-98DE-CE49-B313-D190F7846508}">
  <dimension ref="A1:H201"/>
  <sheetViews>
    <sheetView zoomScale="120" zoomScaleNormal="120" workbookViewId="0">
      <selection sqref="A1:H138"/>
    </sheetView>
  </sheetViews>
  <sheetFormatPr baseColWidth="10" defaultRowHeight="16" x14ac:dyDescent="0.2"/>
  <cols>
    <col min="1" max="1" width="13.5" bestFit="1" customWidth="1"/>
    <col min="2" max="2" width="22.1640625" bestFit="1" customWidth="1"/>
    <col min="3" max="3" width="13.83203125" bestFit="1" customWidth="1"/>
    <col min="8" max="8" width="13.33203125" bestFit="1" customWidth="1"/>
  </cols>
  <sheetData>
    <row r="1" spans="1:8" x14ac:dyDescent="0.2">
      <c r="A1" s="1" t="s">
        <v>1</v>
      </c>
      <c r="B1" s="1" t="s">
        <v>0</v>
      </c>
      <c r="C1" s="1" t="s">
        <v>8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22</v>
      </c>
    </row>
    <row r="2" spans="1:8" x14ac:dyDescent="0.2">
      <c r="A2" t="s">
        <v>25</v>
      </c>
      <c r="B2" t="s">
        <v>26</v>
      </c>
      <c r="C2" t="s">
        <v>9</v>
      </c>
      <c r="D2" t="s">
        <v>10</v>
      </c>
      <c r="E2" s="3">
        <v>45788</v>
      </c>
      <c r="F2" s="2">
        <v>0.44930555555555557</v>
      </c>
      <c r="G2">
        <v>1</v>
      </c>
    </row>
    <row r="3" spans="1:8" x14ac:dyDescent="0.2">
      <c r="A3" t="s">
        <v>29</v>
      </c>
      <c r="B3" t="s">
        <v>30</v>
      </c>
      <c r="C3" t="s">
        <v>9</v>
      </c>
      <c r="D3" t="s">
        <v>10</v>
      </c>
      <c r="E3" s="3">
        <v>45788</v>
      </c>
      <c r="F3" s="2">
        <v>0.4513888888888889</v>
      </c>
      <c r="G3">
        <v>1</v>
      </c>
    </row>
    <row r="4" spans="1:8" x14ac:dyDescent="0.2">
      <c r="A4" t="s">
        <v>11</v>
      </c>
      <c r="B4" t="s">
        <v>12</v>
      </c>
      <c r="C4" t="s">
        <v>9</v>
      </c>
      <c r="D4" t="s">
        <v>10</v>
      </c>
      <c r="E4" s="3">
        <v>45788</v>
      </c>
      <c r="F4" s="2">
        <v>0.45833333333333331</v>
      </c>
      <c r="G4">
        <v>1</v>
      </c>
      <c r="H4" t="s">
        <v>23</v>
      </c>
    </row>
    <row r="5" spans="1:8" x14ac:dyDescent="0.2">
      <c r="A5" t="s">
        <v>13</v>
      </c>
      <c r="B5" t="s">
        <v>14</v>
      </c>
      <c r="C5" t="s">
        <v>9</v>
      </c>
      <c r="D5" t="s">
        <v>10</v>
      </c>
      <c r="E5" s="3">
        <v>45788</v>
      </c>
      <c r="F5" s="2">
        <v>0.49305555555555558</v>
      </c>
      <c r="G5">
        <v>2</v>
      </c>
    </row>
    <row r="6" spans="1:8" x14ac:dyDescent="0.2">
      <c r="A6" t="s">
        <v>31</v>
      </c>
      <c r="B6" t="s">
        <v>32</v>
      </c>
      <c r="C6" t="s">
        <v>9</v>
      </c>
      <c r="D6" t="s">
        <v>10</v>
      </c>
      <c r="E6" s="3">
        <v>45788</v>
      </c>
      <c r="F6" s="2">
        <v>0.50763888888888886</v>
      </c>
      <c r="G6">
        <v>2</v>
      </c>
      <c r="H6" t="s">
        <v>33</v>
      </c>
    </row>
    <row r="7" spans="1:8" x14ac:dyDescent="0.2">
      <c r="A7" t="s">
        <v>15</v>
      </c>
      <c r="B7" t="s">
        <v>16</v>
      </c>
      <c r="C7" t="s">
        <v>17</v>
      </c>
      <c r="D7" t="s">
        <v>10</v>
      </c>
      <c r="E7" s="3">
        <v>45787</v>
      </c>
      <c r="F7" s="2">
        <v>0.51527777777777772</v>
      </c>
      <c r="G7">
        <v>2</v>
      </c>
      <c r="H7" t="s">
        <v>64</v>
      </c>
    </row>
    <row r="8" spans="1:8" x14ac:dyDescent="0.2">
      <c r="A8" t="s">
        <v>20</v>
      </c>
      <c r="B8" t="s">
        <v>21</v>
      </c>
      <c r="C8" t="s">
        <v>9</v>
      </c>
      <c r="D8" t="s">
        <v>10</v>
      </c>
      <c r="E8" s="3">
        <v>45788</v>
      </c>
      <c r="F8" s="2">
        <v>0.53333333333333333</v>
      </c>
      <c r="G8">
        <v>2</v>
      </c>
      <c r="H8" t="s">
        <v>24</v>
      </c>
    </row>
    <row r="9" spans="1:8" x14ac:dyDescent="0.2">
      <c r="A9" t="s">
        <v>18</v>
      </c>
      <c r="B9" t="s">
        <v>19</v>
      </c>
      <c r="C9" t="s">
        <v>9</v>
      </c>
      <c r="D9" t="s">
        <v>10</v>
      </c>
      <c r="E9" s="3">
        <v>45788</v>
      </c>
      <c r="F9" s="2">
        <v>0.53472222222222221</v>
      </c>
      <c r="G9">
        <v>2</v>
      </c>
      <c r="H9" t="s">
        <v>24</v>
      </c>
    </row>
    <row r="10" spans="1:8" x14ac:dyDescent="0.2">
      <c r="A10" t="s">
        <v>6</v>
      </c>
      <c r="B10" t="s">
        <v>7</v>
      </c>
      <c r="C10" t="s">
        <v>9</v>
      </c>
      <c r="D10" t="s">
        <v>10</v>
      </c>
      <c r="E10" s="3">
        <v>45423</v>
      </c>
      <c r="F10" s="2">
        <v>4.1666666666666664E-2</v>
      </c>
      <c r="G10">
        <v>2</v>
      </c>
    </row>
    <row r="11" spans="1:8" x14ac:dyDescent="0.2">
      <c r="A11" t="s">
        <v>27</v>
      </c>
      <c r="B11" t="s">
        <v>28</v>
      </c>
      <c r="C11" t="s">
        <v>9</v>
      </c>
      <c r="D11" t="s">
        <v>10</v>
      </c>
      <c r="E11" s="3">
        <v>45788</v>
      </c>
      <c r="F11" s="2">
        <v>4.8611111111111112E-2</v>
      </c>
      <c r="G11">
        <v>2</v>
      </c>
    </row>
    <row r="12" spans="1:8" x14ac:dyDescent="0.2">
      <c r="E12" s="3"/>
      <c r="F12" s="2"/>
    </row>
    <row r="13" spans="1:8" x14ac:dyDescent="0.2">
      <c r="A13" t="s">
        <v>44</v>
      </c>
      <c r="B13" t="s">
        <v>45</v>
      </c>
      <c r="C13" t="s">
        <v>46</v>
      </c>
      <c r="D13" t="s">
        <v>41</v>
      </c>
      <c r="E13" s="3">
        <v>45788</v>
      </c>
      <c r="F13" s="2">
        <v>0.4201388888888889</v>
      </c>
      <c r="G13">
        <v>1</v>
      </c>
    </row>
    <row r="14" spans="1:8" x14ac:dyDescent="0.2">
      <c r="A14" t="s">
        <v>75</v>
      </c>
      <c r="B14" t="s">
        <v>76</v>
      </c>
      <c r="C14" t="s">
        <v>46</v>
      </c>
      <c r="D14" t="s">
        <v>41</v>
      </c>
      <c r="E14" s="3">
        <v>45788</v>
      </c>
      <c r="F14" s="2">
        <v>0.42638888888888887</v>
      </c>
      <c r="G14">
        <v>1</v>
      </c>
    </row>
    <row r="15" spans="1:8" x14ac:dyDescent="0.2">
      <c r="A15" t="s">
        <v>77</v>
      </c>
      <c r="B15" t="s">
        <v>78</v>
      </c>
      <c r="C15" t="s">
        <v>46</v>
      </c>
      <c r="D15" t="s">
        <v>41</v>
      </c>
      <c r="E15" s="3">
        <v>45788</v>
      </c>
      <c r="F15" s="2">
        <v>0.43194444444444446</v>
      </c>
      <c r="G15">
        <v>1</v>
      </c>
    </row>
    <row r="16" spans="1:8" x14ac:dyDescent="0.2">
      <c r="A16" t="s">
        <v>51</v>
      </c>
      <c r="B16" t="s">
        <v>52</v>
      </c>
      <c r="C16" t="s">
        <v>46</v>
      </c>
      <c r="D16" t="s">
        <v>41</v>
      </c>
      <c r="E16" s="3">
        <v>45788</v>
      </c>
      <c r="F16" s="2">
        <v>0.43680555555555556</v>
      </c>
      <c r="G16">
        <v>1</v>
      </c>
    </row>
    <row r="17" spans="1:8" x14ac:dyDescent="0.2">
      <c r="A17" t="s">
        <v>38</v>
      </c>
      <c r="B17" t="s">
        <v>39</v>
      </c>
      <c r="C17" t="s">
        <v>40</v>
      </c>
      <c r="D17" t="s">
        <v>41</v>
      </c>
      <c r="E17" s="3">
        <v>45788</v>
      </c>
      <c r="F17" s="2">
        <v>0.44027777777777777</v>
      </c>
      <c r="G17">
        <v>1</v>
      </c>
    </row>
    <row r="18" spans="1:8" x14ac:dyDescent="0.2">
      <c r="A18" t="s">
        <v>67</v>
      </c>
      <c r="B18" t="s">
        <v>68</v>
      </c>
      <c r="C18" t="s">
        <v>46</v>
      </c>
      <c r="D18" t="s">
        <v>41</v>
      </c>
      <c r="E18" s="3">
        <v>45788</v>
      </c>
      <c r="F18" s="2">
        <v>0.45</v>
      </c>
      <c r="G18">
        <v>1</v>
      </c>
      <c r="H18" t="s">
        <v>64</v>
      </c>
    </row>
    <row r="19" spans="1:8" x14ac:dyDescent="0.2">
      <c r="A19" t="s">
        <v>42</v>
      </c>
      <c r="B19" t="s">
        <v>43</v>
      </c>
      <c r="C19" t="s">
        <v>9</v>
      </c>
      <c r="D19" t="s">
        <v>41</v>
      </c>
      <c r="E19" s="3">
        <v>45788</v>
      </c>
      <c r="F19" s="2">
        <v>0.47222222222222221</v>
      </c>
      <c r="G19">
        <v>2</v>
      </c>
    </row>
    <row r="20" spans="1:8" x14ac:dyDescent="0.2">
      <c r="A20" t="s">
        <v>47</v>
      </c>
      <c r="B20" t="s">
        <v>48</v>
      </c>
      <c r="C20" t="s">
        <v>9</v>
      </c>
      <c r="D20" t="s">
        <v>41</v>
      </c>
      <c r="E20" s="3">
        <v>45788</v>
      </c>
      <c r="F20" s="2">
        <v>0.4777777777777778</v>
      </c>
      <c r="G20">
        <v>2</v>
      </c>
    </row>
    <row r="21" spans="1:8" x14ac:dyDescent="0.2">
      <c r="A21" t="s">
        <v>71</v>
      </c>
      <c r="B21" t="s">
        <v>72</v>
      </c>
      <c r="C21" t="s">
        <v>9</v>
      </c>
      <c r="D21" t="s">
        <v>41</v>
      </c>
      <c r="E21" s="3">
        <v>45788</v>
      </c>
      <c r="F21" s="2">
        <v>0.48402777777777778</v>
      </c>
      <c r="G21">
        <v>2</v>
      </c>
    </row>
    <row r="22" spans="1:8" x14ac:dyDescent="0.2">
      <c r="A22" t="s">
        <v>79</v>
      </c>
      <c r="B22" t="s">
        <v>80</v>
      </c>
      <c r="C22" t="s">
        <v>9</v>
      </c>
      <c r="D22" t="s">
        <v>41</v>
      </c>
      <c r="E22" s="3">
        <v>45788</v>
      </c>
      <c r="F22" s="2">
        <v>0.48819444444444443</v>
      </c>
      <c r="G22">
        <v>2</v>
      </c>
      <c r="H22" t="s">
        <v>81</v>
      </c>
    </row>
    <row r="23" spans="1:8" x14ac:dyDescent="0.2">
      <c r="A23" t="s">
        <v>82</v>
      </c>
      <c r="B23" t="s">
        <v>83</v>
      </c>
      <c r="C23" t="s">
        <v>9</v>
      </c>
      <c r="D23" t="s">
        <v>41</v>
      </c>
      <c r="E23" s="3">
        <v>45788</v>
      </c>
      <c r="F23" s="2">
        <v>0.49236111111111114</v>
      </c>
      <c r="G23">
        <v>2</v>
      </c>
    </row>
    <row r="24" spans="1:8" x14ac:dyDescent="0.2">
      <c r="A24" t="s">
        <v>49</v>
      </c>
      <c r="B24" t="s">
        <v>50</v>
      </c>
      <c r="C24" t="s">
        <v>9</v>
      </c>
      <c r="D24" t="s">
        <v>41</v>
      </c>
      <c r="E24" s="3">
        <v>45788</v>
      </c>
      <c r="F24" s="2">
        <v>0.49583333333333335</v>
      </c>
      <c r="G24">
        <v>2</v>
      </c>
      <c r="H24" t="s">
        <v>24</v>
      </c>
    </row>
    <row r="25" spans="1:8" x14ac:dyDescent="0.2">
      <c r="A25" t="s">
        <v>62</v>
      </c>
      <c r="B25" t="s">
        <v>63</v>
      </c>
      <c r="C25" t="s">
        <v>9</v>
      </c>
      <c r="D25" t="s">
        <v>41</v>
      </c>
      <c r="E25" s="3">
        <v>45788</v>
      </c>
      <c r="F25" s="2">
        <v>0.49791666666666667</v>
      </c>
      <c r="G25">
        <v>2</v>
      </c>
      <c r="H25" t="s">
        <v>64</v>
      </c>
    </row>
    <row r="26" spans="1:8" x14ac:dyDescent="0.2">
      <c r="A26" t="s">
        <v>65</v>
      </c>
      <c r="B26" t="s">
        <v>66</v>
      </c>
      <c r="C26" t="s">
        <v>9</v>
      </c>
      <c r="D26" t="s">
        <v>41</v>
      </c>
      <c r="E26" s="3">
        <v>45788</v>
      </c>
      <c r="F26" s="2">
        <v>0.50069444444444444</v>
      </c>
      <c r="G26">
        <v>2</v>
      </c>
    </row>
    <row r="27" spans="1:8" x14ac:dyDescent="0.2">
      <c r="A27" t="s">
        <v>73</v>
      </c>
      <c r="B27" t="s">
        <v>74</v>
      </c>
      <c r="C27" t="s">
        <v>9</v>
      </c>
      <c r="D27" t="s">
        <v>41</v>
      </c>
      <c r="E27" s="3">
        <v>45788</v>
      </c>
      <c r="F27" s="2">
        <v>0.52500000000000002</v>
      </c>
      <c r="G27">
        <v>3</v>
      </c>
    </row>
    <row r="28" spans="1:8" x14ac:dyDescent="0.2">
      <c r="A28" t="s">
        <v>57</v>
      </c>
      <c r="B28" t="s">
        <v>58</v>
      </c>
      <c r="C28" t="s">
        <v>9</v>
      </c>
      <c r="D28" t="s">
        <v>41</v>
      </c>
      <c r="E28" s="3">
        <v>45788</v>
      </c>
      <c r="F28" s="2">
        <v>0.52777777777777779</v>
      </c>
      <c r="G28">
        <v>3</v>
      </c>
      <c r="H28" t="s">
        <v>59</v>
      </c>
    </row>
    <row r="29" spans="1:8" x14ac:dyDescent="0.2">
      <c r="A29" t="s">
        <v>34</v>
      </c>
      <c r="B29" t="s">
        <v>35</v>
      </c>
      <c r="C29" t="s">
        <v>9</v>
      </c>
      <c r="D29" t="s">
        <v>41</v>
      </c>
      <c r="E29" s="3">
        <v>45788</v>
      </c>
      <c r="F29" s="2">
        <v>0.53055555555555556</v>
      </c>
      <c r="G29">
        <v>3</v>
      </c>
    </row>
    <row r="30" spans="1:8" x14ac:dyDescent="0.2">
      <c r="A30" t="s">
        <v>53</v>
      </c>
      <c r="B30" t="s">
        <v>54</v>
      </c>
      <c r="C30" t="s">
        <v>9</v>
      </c>
      <c r="D30" t="s">
        <v>41</v>
      </c>
      <c r="E30" s="3">
        <v>45788</v>
      </c>
      <c r="F30" s="2">
        <v>0.53333333333333333</v>
      </c>
      <c r="G30">
        <v>3</v>
      </c>
    </row>
    <row r="31" spans="1:8" x14ac:dyDescent="0.2">
      <c r="A31" t="s">
        <v>69</v>
      </c>
      <c r="B31" t="s">
        <v>70</v>
      </c>
      <c r="C31" t="s">
        <v>9</v>
      </c>
      <c r="D31" t="s">
        <v>41</v>
      </c>
      <c r="E31" s="3">
        <v>45788</v>
      </c>
      <c r="F31" s="2">
        <v>0.53541666666666665</v>
      </c>
      <c r="G31">
        <v>3</v>
      </c>
    </row>
    <row r="32" spans="1:8" x14ac:dyDescent="0.2">
      <c r="A32" t="s">
        <v>60</v>
      </c>
      <c r="B32" t="s">
        <v>61</v>
      </c>
      <c r="C32" t="s">
        <v>9</v>
      </c>
      <c r="D32" t="s">
        <v>41</v>
      </c>
      <c r="E32" s="3">
        <v>45787</v>
      </c>
      <c r="F32" s="2">
        <v>4.2361111111111113E-2</v>
      </c>
      <c r="G32">
        <v>3</v>
      </c>
      <c r="H32" t="s">
        <v>24</v>
      </c>
    </row>
    <row r="33" spans="1:7" x14ac:dyDescent="0.2">
      <c r="A33" t="s">
        <v>55</v>
      </c>
      <c r="B33" t="s">
        <v>56</v>
      </c>
      <c r="C33" t="s">
        <v>9</v>
      </c>
      <c r="D33" t="s">
        <v>41</v>
      </c>
      <c r="E33" s="3">
        <v>45788</v>
      </c>
      <c r="F33" s="2">
        <v>4.9305555555555554E-2</v>
      </c>
      <c r="G33">
        <v>3</v>
      </c>
    </row>
    <row r="34" spans="1:7" x14ac:dyDescent="0.2">
      <c r="A34" t="s">
        <v>36</v>
      </c>
      <c r="B34" t="s">
        <v>37</v>
      </c>
      <c r="C34" t="s">
        <v>9</v>
      </c>
      <c r="D34" t="s">
        <v>41</v>
      </c>
      <c r="E34" s="3">
        <v>45788</v>
      </c>
      <c r="F34" s="2">
        <v>5.2083333333333336E-2</v>
      </c>
      <c r="G34">
        <v>3</v>
      </c>
    </row>
    <row r="36" spans="1:7" x14ac:dyDescent="0.2">
      <c r="A36" t="s">
        <v>92</v>
      </c>
      <c r="B36" t="s">
        <v>93</v>
      </c>
      <c r="C36" t="s">
        <v>94</v>
      </c>
      <c r="D36" t="s">
        <v>86</v>
      </c>
      <c r="E36" s="3">
        <v>45788</v>
      </c>
      <c r="F36" s="2">
        <v>0.38680555555555557</v>
      </c>
      <c r="G36">
        <v>1</v>
      </c>
    </row>
    <row r="37" spans="1:7" x14ac:dyDescent="0.2">
      <c r="A37" t="s">
        <v>102</v>
      </c>
      <c r="B37" t="s">
        <v>103</v>
      </c>
      <c r="C37" t="s">
        <v>94</v>
      </c>
      <c r="D37" t="s">
        <v>86</v>
      </c>
      <c r="E37" s="3">
        <v>45788</v>
      </c>
      <c r="F37" s="2">
        <v>0.39930555555555558</v>
      </c>
      <c r="G37">
        <v>1</v>
      </c>
    </row>
    <row r="38" spans="1:7" x14ac:dyDescent="0.2">
      <c r="A38" t="s">
        <v>125</v>
      </c>
      <c r="B38" t="s">
        <v>124</v>
      </c>
      <c r="C38" t="s">
        <v>94</v>
      </c>
      <c r="D38" t="s">
        <v>86</v>
      </c>
      <c r="E38" s="3">
        <v>45788</v>
      </c>
      <c r="F38" s="2">
        <v>0.40694444444444444</v>
      </c>
      <c r="G38">
        <v>1</v>
      </c>
    </row>
    <row r="39" spans="1:7" x14ac:dyDescent="0.2">
      <c r="A39" t="s">
        <v>119</v>
      </c>
      <c r="B39" t="s">
        <v>120</v>
      </c>
      <c r="C39" t="s">
        <v>121</v>
      </c>
      <c r="D39" t="s">
        <v>86</v>
      </c>
      <c r="E39" s="3">
        <v>45788</v>
      </c>
      <c r="F39" s="2">
        <v>0.41458333333333336</v>
      </c>
      <c r="G39">
        <v>1</v>
      </c>
    </row>
    <row r="40" spans="1:7" x14ac:dyDescent="0.2">
      <c r="A40" t="s">
        <v>116</v>
      </c>
      <c r="B40" t="s">
        <v>117</v>
      </c>
      <c r="C40" t="s">
        <v>118</v>
      </c>
      <c r="D40" t="s">
        <v>86</v>
      </c>
      <c r="E40" s="3">
        <v>45788</v>
      </c>
      <c r="F40" s="2">
        <v>0.42152777777777778</v>
      </c>
      <c r="G40">
        <v>1</v>
      </c>
    </row>
    <row r="41" spans="1:7" x14ac:dyDescent="0.2">
      <c r="A41" t="s">
        <v>109</v>
      </c>
      <c r="B41" t="s">
        <v>110</v>
      </c>
      <c r="C41" t="s">
        <v>111</v>
      </c>
      <c r="D41" t="s">
        <v>86</v>
      </c>
      <c r="E41" s="3">
        <v>45787</v>
      </c>
      <c r="F41" s="2">
        <v>0.43402777777777779</v>
      </c>
      <c r="G41">
        <v>1</v>
      </c>
    </row>
    <row r="42" spans="1:7" x14ac:dyDescent="0.2">
      <c r="A42" t="s">
        <v>89</v>
      </c>
      <c r="B42" t="s">
        <v>90</v>
      </c>
      <c r="C42" t="s">
        <v>91</v>
      </c>
      <c r="D42" t="s">
        <v>86</v>
      </c>
      <c r="E42" s="3">
        <v>45787</v>
      </c>
      <c r="F42" s="2">
        <v>0.44027777777777777</v>
      </c>
      <c r="G42">
        <v>1</v>
      </c>
    </row>
    <row r="43" spans="1:7" x14ac:dyDescent="0.2">
      <c r="A43" t="s">
        <v>122</v>
      </c>
      <c r="B43" t="s">
        <v>123</v>
      </c>
      <c r="C43" t="s">
        <v>91</v>
      </c>
      <c r="D43" t="s">
        <v>86</v>
      </c>
      <c r="E43" s="3">
        <v>45788</v>
      </c>
      <c r="F43" s="2">
        <v>0.44583333333333336</v>
      </c>
      <c r="G43">
        <v>1</v>
      </c>
    </row>
    <row r="44" spans="1:7" x14ac:dyDescent="0.2">
      <c r="A44" t="s">
        <v>129</v>
      </c>
      <c r="B44" t="s">
        <v>130</v>
      </c>
      <c r="C44" t="s">
        <v>91</v>
      </c>
      <c r="D44" t="s">
        <v>86</v>
      </c>
      <c r="E44" s="3">
        <v>45788</v>
      </c>
      <c r="F44" s="2">
        <v>0.4548611111111111</v>
      </c>
      <c r="G44">
        <v>1</v>
      </c>
    </row>
    <row r="45" spans="1:7" x14ac:dyDescent="0.2">
      <c r="A45" t="s">
        <v>95</v>
      </c>
      <c r="B45" t="s">
        <v>104</v>
      </c>
      <c r="C45" t="s">
        <v>94</v>
      </c>
      <c r="D45" t="s">
        <v>86</v>
      </c>
      <c r="E45" s="3">
        <v>45788</v>
      </c>
      <c r="F45" s="2">
        <v>0.46180555555555558</v>
      </c>
      <c r="G45">
        <v>1</v>
      </c>
    </row>
    <row r="46" spans="1:7" x14ac:dyDescent="0.2">
      <c r="A46" t="s">
        <v>95</v>
      </c>
      <c r="B46" t="s">
        <v>96</v>
      </c>
      <c r="C46" t="s">
        <v>94</v>
      </c>
      <c r="D46" t="s">
        <v>86</v>
      </c>
      <c r="E46" s="3">
        <v>45788</v>
      </c>
      <c r="F46" s="2">
        <v>0.46666666666666667</v>
      </c>
      <c r="G46">
        <v>1</v>
      </c>
    </row>
    <row r="47" spans="1:7" x14ac:dyDescent="0.2">
      <c r="A47" t="s">
        <v>105</v>
      </c>
      <c r="B47" t="s">
        <v>106</v>
      </c>
      <c r="C47" t="s">
        <v>94</v>
      </c>
      <c r="D47" t="s">
        <v>86</v>
      </c>
      <c r="E47" s="3">
        <v>45788</v>
      </c>
      <c r="F47" s="2">
        <v>0.47499999999999998</v>
      </c>
      <c r="G47">
        <v>1</v>
      </c>
    </row>
    <row r="48" spans="1:7" x14ac:dyDescent="0.2">
      <c r="A48" t="s">
        <v>114</v>
      </c>
      <c r="B48" t="s">
        <v>115</v>
      </c>
      <c r="C48" t="s">
        <v>94</v>
      </c>
      <c r="D48" t="s">
        <v>86</v>
      </c>
      <c r="E48" s="3">
        <v>45787</v>
      </c>
      <c r="F48" s="2">
        <v>0.4826388888888889</v>
      </c>
      <c r="G48">
        <v>1</v>
      </c>
    </row>
    <row r="49" spans="1:8" x14ac:dyDescent="0.2">
      <c r="A49" t="s">
        <v>107</v>
      </c>
      <c r="B49" t="s">
        <v>108</v>
      </c>
      <c r="C49" t="s">
        <v>9</v>
      </c>
      <c r="D49" t="s">
        <v>86</v>
      </c>
      <c r="E49" s="3">
        <v>45788</v>
      </c>
      <c r="F49" s="2">
        <v>0.51458333333333328</v>
      </c>
      <c r="G49">
        <v>2</v>
      </c>
    </row>
    <row r="50" spans="1:8" x14ac:dyDescent="0.2">
      <c r="A50" t="s">
        <v>87</v>
      </c>
      <c r="B50" t="s">
        <v>88</v>
      </c>
      <c r="C50" t="s">
        <v>9</v>
      </c>
      <c r="D50" t="s">
        <v>86</v>
      </c>
      <c r="E50" s="3">
        <v>45788</v>
      </c>
      <c r="F50" s="2">
        <v>0.52152777777777781</v>
      </c>
      <c r="G50">
        <v>2</v>
      </c>
    </row>
    <row r="51" spans="1:8" x14ac:dyDescent="0.2">
      <c r="A51" t="s">
        <v>112</v>
      </c>
      <c r="B51" t="s">
        <v>113</v>
      </c>
      <c r="C51" t="s">
        <v>9</v>
      </c>
      <c r="D51" t="s">
        <v>86</v>
      </c>
      <c r="E51" s="3">
        <v>45788</v>
      </c>
      <c r="F51" s="2">
        <v>0.52847222222222223</v>
      </c>
      <c r="G51">
        <v>2</v>
      </c>
    </row>
    <row r="52" spans="1:8" x14ac:dyDescent="0.2">
      <c r="A52" t="s">
        <v>99</v>
      </c>
      <c r="B52" t="s">
        <v>100</v>
      </c>
      <c r="C52" t="s">
        <v>101</v>
      </c>
      <c r="D52" t="s">
        <v>86</v>
      </c>
      <c r="E52" s="3">
        <v>45788</v>
      </c>
      <c r="F52" s="2">
        <v>4.5138888888888888E-2</v>
      </c>
      <c r="G52">
        <v>2</v>
      </c>
    </row>
    <row r="53" spans="1:8" x14ac:dyDescent="0.2">
      <c r="A53" t="s">
        <v>126</v>
      </c>
      <c r="B53" t="s">
        <v>127</v>
      </c>
      <c r="C53" t="s">
        <v>128</v>
      </c>
      <c r="D53" t="s">
        <v>86</v>
      </c>
      <c r="E53" s="3">
        <v>45788</v>
      </c>
      <c r="F53" s="2">
        <v>5.4166666666666669E-2</v>
      </c>
      <c r="G53">
        <v>2</v>
      </c>
    </row>
    <row r="54" spans="1:8" x14ac:dyDescent="0.2">
      <c r="A54" t="s">
        <v>97</v>
      </c>
      <c r="B54" t="s">
        <v>98</v>
      </c>
      <c r="C54" t="s">
        <v>9</v>
      </c>
      <c r="D54" t="s">
        <v>86</v>
      </c>
      <c r="E54" s="3">
        <v>45788</v>
      </c>
      <c r="F54" s="2">
        <v>6.3888888888888884E-2</v>
      </c>
      <c r="G54">
        <v>2</v>
      </c>
    </row>
    <row r="55" spans="1:8" x14ac:dyDescent="0.2">
      <c r="A55" t="s">
        <v>84</v>
      </c>
      <c r="B55" t="s">
        <v>85</v>
      </c>
      <c r="C55" t="s">
        <v>9</v>
      </c>
      <c r="D55" t="s">
        <v>86</v>
      </c>
      <c r="E55" s="3">
        <v>45788</v>
      </c>
      <c r="F55" s="2">
        <v>7.2222222222222215E-2</v>
      </c>
      <c r="G55">
        <v>2</v>
      </c>
      <c r="H55" t="s">
        <v>59</v>
      </c>
    </row>
    <row r="57" spans="1:8" x14ac:dyDescent="0.2">
      <c r="A57" s="4" t="s">
        <v>131</v>
      </c>
      <c r="B57" s="4" t="s">
        <v>132</v>
      </c>
      <c r="C57" s="4" t="s">
        <v>9</v>
      </c>
      <c r="D57" s="4" t="s">
        <v>133</v>
      </c>
      <c r="E57" s="5">
        <v>45788</v>
      </c>
      <c r="F57" s="6">
        <v>0.44444444444444442</v>
      </c>
      <c r="G57" s="4"/>
      <c r="H57" s="4"/>
    </row>
    <row r="58" spans="1:8" x14ac:dyDescent="0.2">
      <c r="A58" s="4" t="s">
        <v>134</v>
      </c>
      <c r="B58" s="4" t="s">
        <v>135</v>
      </c>
      <c r="C58" s="4" t="s">
        <v>9</v>
      </c>
      <c r="D58" s="4" t="s">
        <v>133</v>
      </c>
      <c r="E58" s="5">
        <v>45788</v>
      </c>
      <c r="F58" s="4"/>
      <c r="G58" s="4"/>
      <c r="H58" s="4" t="s">
        <v>64</v>
      </c>
    </row>
    <row r="59" spans="1:8" x14ac:dyDescent="0.2">
      <c r="A59" s="4" t="s">
        <v>137</v>
      </c>
      <c r="B59" s="4" t="s">
        <v>136</v>
      </c>
      <c r="C59" s="4" t="s">
        <v>9</v>
      </c>
      <c r="D59" s="4" t="s">
        <v>133</v>
      </c>
      <c r="E59" s="5">
        <v>45788</v>
      </c>
      <c r="F59" s="4"/>
      <c r="G59" s="4"/>
      <c r="H59" s="4" t="s">
        <v>138</v>
      </c>
    </row>
    <row r="60" spans="1:8" x14ac:dyDescent="0.2">
      <c r="A60" s="4" t="s">
        <v>139</v>
      </c>
      <c r="B60" s="4" t="s">
        <v>140</v>
      </c>
      <c r="C60" s="4" t="s">
        <v>9</v>
      </c>
      <c r="D60" s="4" t="s">
        <v>133</v>
      </c>
      <c r="E60" s="5">
        <v>45788</v>
      </c>
      <c r="F60" s="4"/>
      <c r="G60" s="4"/>
      <c r="H60" s="4"/>
    </row>
    <row r="61" spans="1:8" x14ac:dyDescent="0.2">
      <c r="A61" s="4" t="s">
        <v>141</v>
      </c>
      <c r="B61" s="4" t="s">
        <v>142</v>
      </c>
      <c r="C61" s="4" t="s">
        <v>9</v>
      </c>
      <c r="D61" s="4" t="s">
        <v>133</v>
      </c>
      <c r="E61" s="5">
        <v>45788</v>
      </c>
      <c r="F61" s="4"/>
      <c r="G61" s="4"/>
      <c r="H61" s="4" t="s">
        <v>143</v>
      </c>
    </row>
    <row r="62" spans="1:8" x14ac:dyDescent="0.2">
      <c r="A62" s="4" t="s">
        <v>144</v>
      </c>
      <c r="B62" s="4" t="s">
        <v>145</v>
      </c>
      <c r="C62" s="4" t="s">
        <v>9</v>
      </c>
      <c r="D62" s="4" t="s">
        <v>133</v>
      </c>
      <c r="E62" s="5">
        <v>45788</v>
      </c>
      <c r="F62" s="4"/>
      <c r="G62" s="4"/>
      <c r="H62" s="4"/>
    </row>
    <row r="63" spans="1:8" x14ac:dyDescent="0.2">
      <c r="A63" s="4" t="s">
        <v>146</v>
      </c>
      <c r="B63" s="4" t="s">
        <v>147</v>
      </c>
      <c r="C63" s="4" t="s">
        <v>9</v>
      </c>
      <c r="D63" s="4" t="s">
        <v>133</v>
      </c>
      <c r="E63" s="5">
        <v>45788</v>
      </c>
      <c r="F63" s="4"/>
      <c r="G63" s="4"/>
      <c r="H63" s="4"/>
    </row>
    <row r="64" spans="1:8" x14ac:dyDescent="0.2">
      <c r="A64" s="4" t="s">
        <v>148</v>
      </c>
      <c r="B64" s="4" t="s">
        <v>149</v>
      </c>
      <c r="C64" s="4" t="s">
        <v>9</v>
      </c>
      <c r="D64" s="4" t="s">
        <v>133</v>
      </c>
      <c r="E64" s="5">
        <v>45788</v>
      </c>
      <c r="F64" s="4"/>
      <c r="G64" s="4"/>
      <c r="H64" s="4"/>
    </row>
    <row r="65" spans="1:8" x14ac:dyDescent="0.2">
      <c r="A65" s="4" t="s">
        <v>150</v>
      </c>
      <c r="B65" s="4" t="s">
        <v>151</v>
      </c>
      <c r="C65" s="4" t="s">
        <v>9</v>
      </c>
      <c r="D65" s="4" t="s">
        <v>133</v>
      </c>
      <c r="E65" s="5">
        <v>45788</v>
      </c>
      <c r="F65" s="4"/>
      <c r="G65" s="4"/>
      <c r="H65" s="4"/>
    </row>
    <row r="66" spans="1:8" x14ac:dyDescent="0.2">
      <c r="E66" s="3"/>
    </row>
    <row r="67" spans="1:8" x14ac:dyDescent="0.2">
      <c r="A67" s="4" t="s">
        <v>164</v>
      </c>
      <c r="B67" s="4" t="s">
        <v>165</v>
      </c>
      <c r="C67" s="4" t="s">
        <v>166</v>
      </c>
      <c r="D67" s="4" t="s">
        <v>155</v>
      </c>
      <c r="E67" s="5">
        <v>45788</v>
      </c>
      <c r="F67" s="6">
        <v>0.4375</v>
      </c>
      <c r="G67" s="4">
        <v>1</v>
      </c>
      <c r="H67" s="4"/>
    </row>
    <row r="68" spans="1:8" x14ac:dyDescent="0.2">
      <c r="A68" s="4" t="s">
        <v>169</v>
      </c>
      <c r="B68" s="4" t="s">
        <v>170</v>
      </c>
      <c r="C68" s="4" t="s">
        <v>46</v>
      </c>
      <c r="D68" s="4" t="s">
        <v>155</v>
      </c>
      <c r="E68" s="5">
        <v>45788</v>
      </c>
      <c r="F68" s="6">
        <v>0.44166666666666665</v>
      </c>
      <c r="G68" s="4">
        <v>1</v>
      </c>
      <c r="H68" s="4"/>
    </row>
    <row r="69" spans="1:8" x14ac:dyDescent="0.2">
      <c r="A69" s="4" t="s">
        <v>176</v>
      </c>
      <c r="B69" s="4" t="s">
        <v>177</v>
      </c>
      <c r="C69" s="4" t="s">
        <v>40</v>
      </c>
      <c r="D69" s="4" t="s">
        <v>155</v>
      </c>
      <c r="E69" s="5">
        <v>45788</v>
      </c>
      <c r="F69" s="6">
        <v>0.4465277777777778</v>
      </c>
      <c r="G69" s="4">
        <v>1</v>
      </c>
      <c r="H69" s="4"/>
    </row>
    <row r="70" spans="1:8" x14ac:dyDescent="0.2">
      <c r="A70" s="4" t="s">
        <v>167</v>
      </c>
      <c r="B70" s="4" t="s">
        <v>168</v>
      </c>
      <c r="C70" s="4" t="s">
        <v>40</v>
      </c>
      <c r="D70" s="4" t="s">
        <v>155</v>
      </c>
      <c r="E70" s="5">
        <v>45788</v>
      </c>
      <c r="F70" s="6">
        <v>0.45</v>
      </c>
      <c r="G70" s="4">
        <v>1</v>
      </c>
      <c r="H70" s="4"/>
    </row>
    <row r="71" spans="1:8" x14ac:dyDescent="0.2">
      <c r="A71" s="4" t="s">
        <v>171</v>
      </c>
      <c r="B71" s="4" t="s">
        <v>172</v>
      </c>
      <c r="C71" s="4" t="s">
        <v>40</v>
      </c>
      <c r="D71" s="4" t="s">
        <v>155</v>
      </c>
      <c r="E71" s="5">
        <v>45788</v>
      </c>
      <c r="F71" s="6">
        <v>0.4548611111111111</v>
      </c>
      <c r="G71" s="4">
        <v>1</v>
      </c>
      <c r="H71" s="4" t="s">
        <v>173</v>
      </c>
    </row>
    <row r="72" spans="1:8" x14ac:dyDescent="0.2">
      <c r="A72" s="4" t="s">
        <v>178</v>
      </c>
      <c r="B72" s="4" t="s">
        <v>179</v>
      </c>
      <c r="C72" s="4" t="s">
        <v>46</v>
      </c>
      <c r="D72" s="4" t="s">
        <v>155</v>
      </c>
      <c r="E72" s="5">
        <v>45788</v>
      </c>
      <c r="F72" s="6">
        <v>0.46250000000000002</v>
      </c>
      <c r="G72" s="4">
        <v>1</v>
      </c>
      <c r="H72" s="4" t="s">
        <v>24</v>
      </c>
    </row>
    <row r="73" spans="1:8" x14ac:dyDescent="0.2">
      <c r="A73" s="4" t="s">
        <v>174</v>
      </c>
      <c r="B73" s="4" t="s">
        <v>175</v>
      </c>
      <c r="C73" s="4" t="s">
        <v>46</v>
      </c>
      <c r="D73" s="4" t="s">
        <v>155</v>
      </c>
      <c r="E73" s="5">
        <v>45788</v>
      </c>
      <c r="F73" s="6">
        <v>0.46527777777777779</v>
      </c>
      <c r="G73" s="4">
        <v>1</v>
      </c>
      <c r="H73" s="4"/>
    </row>
    <row r="74" spans="1:8" x14ac:dyDescent="0.2">
      <c r="A74" s="4" t="s">
        <v>162</v>
      </c>
      <c r="B74" s="4" t="s">
        <v>163</v>
      </c>
      <c r="C74" s="4" t="s">
        <v>9</v>
      </c>
      <c r="D74" s="4" t="s">
        <v>155</v>
      </c>
      <c r="E74" s="5">
        <v>45788</v>
      </c>
      <c r="F74" s="6">
        <v>0.51875000000000004</v>
      </c>
      <c r="G74" s="4">
        <v>2</v>
      </c>
      <c r="H74" s="4"/>
    </row>
    <row r="75" spans="1:8" x14ac:dyDescent="0.2">
      <c r="A75" s="4" t="s">
        <v>158</v>
      </c>
      <c r="B75" s="4" t="s">
        <v>159</v>
      </c>
      <c r="C75" s="4" t="s">
        <v>46</v>
      </c>
      <c r="D75" s="4" t="s">
        <v>155</v>
      </c>
      <c r="E75" s="5">
        <v>45788</v>
      </c>
      <c r="F75" s="6">
        <v>0.5229166666666667</v>
      </c>
      <c r="G75" s="4">
        <v>2</v>
      </c>
      <c r="H75" s="4"/>
    </row>
    <row r="76" spans="1:8" x14ac:dyDescent="0.2">
      <c r="A76" s="4" t="s">
        <v>152</v>
      </c>
      <c r="B76" s="4" t="s">
        <v>153</v>
      </c>
      <c r="C76" s="4" t="s">
        <v>154</v>
      </c>
      <c r="D76" s="4" t="s">
        <v>155</v>
      </c>
      <c r="E76" s="5">
        <v>45788</v>
      </c>
      <c r="F76" s="6">
        <v>0.53333333333333333</v>
      </c>
      <c r="G76" s="4">
        <v>2</v>
      </c>
      <c r="H76" s="4"/>
    </row>
    <row r="77" spans="1:8" x14ac:dyDescent="0.2">
      <c r="A77" s="4" t="s">
        <v>160</v>
      </c>
      <c r="B77" s="4" t="s">
        <v>161</v>
      </c>
      <c r="C77" s="4" t="s">
        <v>46</v>
      </c>
      <c r="D77" s="4" t="s">
        <v>155</v>
      </c>
      <c r="E77" s="5">
        <v>45788</v>
      </c>
      <c r="F77" s="6">
        <v>0.53819444444444442</v>
      </c>
      <c r="G77" s="4">
        <v>2</v>
      </c>
      <c r="H77" s="4"/>
    </row>
    <row r="78" spans="1:8" x14ac:dyDescent="0.2">
      <c r="A78" s="4" t="s">
        <v>156</v>
      </c>
      <c r="B78" s="4" t="s">
        <v>157</v>
      </c>
      <c r="C78" s="4" t="s">
        <v>40</v>
      </c>
      <c r="D78" s="4" t="s">
        <v>155</v>
      </c>
      <c r="E78" s="5">
        <v>45788</v>
      </c>
      <c r="F78" s="6">
        <v>4.791666666666667E-2</v>
      </c>
      <c r="G78" s="4">
        <v>2</v>
      </c>
      <c r="H78" s="4"/>
    </row>
    <row r="80" spans="1:8" x14ac:dyDescent="0.2">
      <c r="A80" s="4" t="s">
        <v>180</v>
      </c>
      <c r="B80" s="4" t="s">
        <v>181</v>
      </c>
      <c r="C80" s="4" t="s">
        <v>9</v>
      </c>
      <c r="D80" s="4" t="s">
        <v>182</v>
      </c>
      <c r="E80" s="5">
        <v>45788</v>
      </c>
      <c r="F80" s="4"/>
      <c r="G80" s="4"/>
      <c r="H80" s="4" t="s">
        <v>59</v>
      </c>
    </row>
    <row r="81" spans="1:8" x14ac:dyDescent="0.2">
      <c r="A81" s="4" t="s">
        <v>183</v>
      </c>
      <c r="B81" s="4" t="s">
        <v>184</v>
      </c>
      <c r="C81" s="4" t="s">
        <v>9</v>
      </c>
      <c r="D81" s="4" t="s">
        <v>182</v>
      </c>
      <c r="E81" s="5">
        <v>45788</v>
      </c>
      <c r="F81" s="4"/>
      <c r="G81" s="4"/>
      <c r="H81" s="4"/>
    </row>
    <row r="82" spans="1:8" x14ac:dyDescent="0.2">
      <c r="A82" s="4" t="s">
        <v>139</v>
      </c>
      <c r="B82" s="4" t="s">
        <v>185</v>
      </c>
      <c r="C82" s="4" t="s">
        <v>9</v>
      </c>
      <c r="D82" s="4" t="s">
        <v>182</v>
      </c>
      <c r="E82" s="5">
        <v>45788</v>
      </c>
      <c r="F82" s="4"/>
      <c r="G82" s="4"/>
      <c r="H82" s="4"/>
    </row>
    <row r="83" spans="1:8" x14ac:dyDescent="0.2">
      <c r="A83" s="4" t="s">
        <v>186</v>
      </c>
      <c r="B83" s="4" t="s">
        <v>184</v>
      </c>
      <c r="C83" s="4" t="s">
        <v>9</v>
      </c>
      <c r="D83" s="4" t="s">
        <v>182</v>
      </c>
      <c r="E83" s="5">
        <v>45788</v>
      </c>
      <c r="F83" s="4"/>
      <c r="G83" s="4"/>
      <c r="H83" s="4"/>
    </row>
    <row r="84" spans="1:8" x14ac:dyDescent="0.2">
      <c r="A84" s="4" t="s">
        <v>187</v>
      </c>
      <c r="B84" s="4" t="s">
        <v>188</v>
      </c>
      <c r="C84" s="4" t="s">
        <v>9</v>
      </c>
      <c r="D84" s="4" t="s">
        <v>182</v>
      </c>
      <c r="E84" s="5">
        <v>45788</v>
      </c>
      <c r="F84" s="4"/>
      <c r="G84" s="4"/>
      <c r="H84" s="4" t="s">
        <v>24</v>
      </c>
    </row>
    <row r="85" spans="1:8" x14ac:dyDescent="0.2">
      <c r="A85" s="4" t="s">
        <v>187</v>
      </c>
      <c r="B85" s="4" t="s">
        <v>188</v>
      </c>
      <c r="C85" s="4" t="s">
        <v>9</v>
      </c>
      <c r="D85" s="4" t="s">
        <v>182</v>
      </c>
      <c r="E85" s="5">
        <v>45788</v>
      </c>
      <c r="F85" s="4"/>
      <c r="G85" s="4"/>
      <c r="H85" s="4" t="s">
        <v>24</v>
      </c>
    </row>
    <row r="86" spans="1:8" x14ac:dyDescent="0.2">
      <c r="A86" s="4" t="s">
        <v>189</v>
      </c>
      <c r="B86" s="4" t="s">
        <v>190</v>
      </c>
      <c r="C86" s="4" t="s">
        <v>9</v>
      </c>
      <c r="D86" s="4" t="s">
        <v>182</v>
      </c>
      <c r="E86" s="5">
        <v>45788</v>
      </c>
      <c r="F86" s="4"/>
      <c r="G86" s="4"/>
      <c r="H86" s="4"/>
    </row>
    <row r="87" spans="1:8" x14ac:dyDescent="0.2">
      <c r="A87" s="4" t="s">
        <v>191</v>
      </c>
      <c r="B87" s="4" t="s">
        <v>192</v>
      </c>
      <c r="C87" s="4" t="s">
        <v>9</v>
      </c>
      <c r="D87" s="4" t="s">
        <v>182</v>
      </c>
      <c r="E87" s="5">
        <v>45788</v>
      </c>
      <c r="F87" s="4"/>
      <c r="G87" s="4"/>
      <c r="H87" s="4"/>
    </row>
    <row r="88" spans="1:8" x14ac:dyDescent="0.2">
      <c r="A88" s="4" t="s">
        <v>193</v>
      </c>
      <c r="B88" s="4" t="s">
        <v>194</v>
      </c>
      <c r="C88" s="4" t="s">
        <v>9</v>
      </c>
      <c r="D88" s="4" t="s">
        <v>182</v>
      </c>
      <c r="E88" s="5">
        <v>45788</v>
      </c>
      <c r="F88" s="4"/>
      <c r="G88" s="4"/>
      <c r="H88" s="4" t="s">
        <v>81</v>
      </c>
    </row>
    <row r="89" spans="1:8" x14ac:dyDescent="0.2">
      <c r="E89" s="3"/>
    </row>
    <row r="90" spans="1:8" x14ac:dyDescent="0.2">
      <c r="A90" t="s">
        <v>220</v>
      </c>
      <c r="B90" t="s">
        <v>221</v>
      </c>
      <c r="C90" t="s">
        <v>46</v>
      </c>
      <c r="D90" t="s">
        <v>197</v>
      </c>
      <c r="E90" s="3">
        <v>45788</v>
      </c>
      <c r="F90" s="2">
        <v>0.41944444444444445</v>
      </c>
      <c r="G90">
        <v>1</v>
      </c>
    </row>
    <row r="91" spans="1:8" x14ac:dyDescent="0.2">
      <c r="A91" t="s">
        <v>195</v>
      </c>
      <c r="B91" t="s">
        <v>196</v>
      </c>
      <c r="C91" t="s">
        <v>46</v>
      </c>
      <c r="D91" t="s">
        <v>197</v>
      </c>
      <c r="E91" s="3">
        <v>45788</v>
      </c>
      <c r="F91" s="2">
        <v>0.42708333333333331</v>
      </c>
      <c r="G91">
        <v>1</v>
      </c>
    </row>
    <row r="92" spans="1:8" x14ac:dyDescent="0.2">
      <c r="A92" t="s">
        <v>204</v>
      </c>
      <c r="B92" t="s">
        <v>205</v>
      </c>
      <c r="C92" t="s">
        <v>46</v>
      </c>
      <c r="D92" t="s">
        <v>197</v>
      </c>
      <c r="E92" s="3">
        <v>45788</v>
      </c>
      <c r="F92" s="2">
        <v>0.43263888888888891</v>
      </c>
      <c r="G92">
        <v>1</v>
      </c>
    </row>
    <row r="93" spans="1:8" x14ac:dyDescent="0.2">
      <c r="A93" t="s">
        <v>200</v>
      </c>
      <c r="B93" t="s">
        <v>201</v>
      </c>
      <c r="C93" t="s">
        <v>46</v>
      </c>
      <c r="D93" t="s">
        <v>197</v>
      </c>
      <c r="E93" s="3">
        <v>45788</v>
      </c>
      <c r="F93" s="2">
        <v>0.43819444444444444</v>
      </c>
      <c r="G93">
        <v>1</v>
      </c>
    </row>
    <row r="94" spans="1:8" x14ac:dyDescent="0.2">
      <c r="A94" t="s">
        <v>206</v>
      </c>
      <c r="B94" t="s">
        <v>207</v>
      </c>
      <c r="C94" t="s">
        <v>46</v>
      </c>
      <c r="D94" t="s">
        <v>197</v>
      </c>
      <c r="E94" s="3">
        <v>45788</v>
      </c>
      <c r="F94" s="2">
        <v>0.44236111111111109</v>
      </c>
      <c r="G94">
        <v>1</v>
      </c>
    </row>
    <row r="95" spans="1:8" x14ac:dyDescent="0.2">
      <c r="A95" t="s">
        <v>202</v>
      </c>
      <c r="B95" t="s">
        <v>203</v>
      </c>
      <c r="C95" t="s">
        <v>46</v>
      </c>
      <c r="D95" t="s">
        <v>197</v>
      </c>
      <c r="E95" s="3">
        <v>45788</v>
      </c>
      <c r="F95" s="2">
        <v>0.44722222222222224</v>
      </c>
      <c r="G95">
        <v>1</v>
      </c>
    </row>
    <row r="96" spans="1:8" x14ac:dyDescent="0.2">
      <c r="A96" t="s">
        <v>210</v>
      </c>
      <c r="B96" t="s">
        <v>211</v>
      </c>
      <c r="C96" t="s">
        <v>46</v>
      </c>
      <c r="D96" t="s">
        <v>197</v>
      </c>
      <c r="E96" s="3">
        <v>45788</v>
      </c>
      <c r="F96" s="2">
        <v>0.4597222222222222</v>
      </c>
      <c r="G96">
        <v>1</v>
      </c>
    </row>
    <row r="97" spans="1:8" x14ac:dyDescent="0.2">
      <c r="A97" t="s">
        <v>198</v>
      </c>
      <c r="B97" t="s">
        <v>199</v>
      </c>
      <c r="C97" t="s">
        <v>46</v>
      </c>
      <c r="D97" t="s">
        <v>197</v>
      </c>
      <c r="E97" s="3">
        <v>45788</v>
      </c>
      <c r="F97" s="2">
        <v>0.46875</v>
      </c>
      <c r="G97">
        <v>1</v>
      </c>
    </row>
    <row r="98" spans="1:8" x14ac:dyDescent="0.2">
      <c r="A98" t="s">
        <v>208</v>
      </c>
      <c r="B98" t="s">
        <v>209</v>
      </c>
      <c r="C98" t="s">
        <v>9</v>
      </c>
      <c r="D98" t="s">
        <v>197</v>
      </c>
      <c r="E98" s="3">
        <v>45788</v>
      </c>
      <c r="F98" s="2">
        <v>0.50763888888888886</v>
      </c>
      <c r="G98">
        <v>2</v>
      </c>
      <c r="H98" t="s">
        <v>81</v>
      </c>
    </row>
    <row r="99" spans="1:8" x14ac:dyDescent="0.2">
      <c r="A99" t="s">
        <v>222</v>
      </c>
      <c r="B99" t="s">
        <v>223</v>
      </c>
      <c r="C99" t="s">
        <v>9</v>
      </c>
      <c r="D99" t="s">
        <v>197</v>
      </c>
      <c r="E99" s="3">
        <v>45788</v>
      </c>
      <c r="F99" s="2">
        <v>0.51180555555555551</v>
      </c>
      <c r="G99">
        <v>2</v>
      </c>
    </row>
    <row r="100" spans="1:8" x14ac:dyDescent="0.2">
      <c r="A100" t="s">
        <v>216</v>
      </c>
      <c r="B100" t="s">
        <v>215</v>
      </c>
      <c r="C100" t="s">
        <v>9</v>
      </c>
      <c r="D100" t="s">
        <v>197</v>
      </c>
      <c r="E100" s="3">
        <v>45788</v>
      </c>
      <c r="F100" s="2">
        <v>0.51666666666666672</v>
      </c>
      <c r="G100">
        <v>2</v>
      </c>
    </row>
    <row r="101" spans="1:8" x14ac:dyDescent="0.2">
      <c r="A101" t="s">
        <v>214</v>
      </c>
      <c r="B101" t="s">
        <v>215</v>
      </c>
      <c r="C101" t="s">
        <v>9</v>
      </c>
      <c r="D101" t="s">
        <v>197</v>
      </c>
      <c r="E101" s="3">
        <v>45788</v>
      </c>
      <c r="F101" s="2">
        <v>0.5229166666666667</v>
      </c>
      <c r="G101">
        <v>2</v>
      </c>
    </row>
    <row r="102" spans="1:8" x14ac:dyDescent="0.2">
      <c r="A102" t="s">
        <v>212</v>
      </c>
      <c r="B102" t="s">
        <v>213</v>
      </c>
      <c r="C102" t="s">
        <v>9</v>
      </c>
      <c r="D102" t="s">
        <v>197</v>
      </c>
      <c r="E102" s="3">
        <v>45788</v>
      </c>
      <c r="F102" s="2">
        <v>0.52916666666666667</v>
      </c>
      <c r="G102">
        <v>2</v>
      </c>
    </row>
    <row r="103" spans="1:8" x14ac:dyDescent="0.2">
      <c r="A103" t="s">
        <v>219</v>
      </c>
      <c r="B103" t="s">
        <v>347</v>
      </c>
      <c r="C103" t="s">
        <v>9</v>
      </c>
      <c r="D103" t="s">
        <v>197</v>
      </c>
      <c r="E103" s="3">
        <v>45788</v>
      </c>
      <c r="F103" s="2">
        <v>0.53263888888888888</v>
      </c>
      <c r="G103">
        <v>2</v>
      </c>
    </row>
    <row r="104" spans="1:8" x14ac:dyDescent="0.2">
      <c r="A104" t="s">
        <v>224</v>
      </c>
      <c r="B104" t="s">
        <v>225</v>
      </c>
      <c r="C104" t="s">
        <v>9</v>
      </c>
      <c r="D104" t="s">
        <v>197</v>
      </c>
      <c r="E104" s="3">
        <v>45788</v>
      </c>
      <c r="F104" s="2">
        <v>0.53819444444444442</v>
      </c>
      <c r="G104">
        <v>2</v>
      </c>
    </row>
    <row r="105" spans="1:8" x14ac:dyDescent="0.2">
      <c r="A105" t="s">
        <v>217</v>
      </c>
      <c r="B105" t="s">
        <v>218</v>
      </c>
      <c r="C105" t="s">
        <v>9</v>
      </c>
      <c r="D105" t="s">
        <v>197</v>
      </c>
      <c r="E105" s="3">
        <v>45788</v>
      </c>
      <c r="F105" s="2">
        <v>4.583333333333333E-2</v>
      </c>
      <c r="G105">
        <v>2</v>
      </c>
    </row>
    <row r="106" spans="1:8" x14ac:dyDescent="0.2">
      <c r="E106" s="3"/>
      <c r="F106" s="2"/>
    </row>
    <row r="107" spans="1:8" x14ac:dyDescent="0.2">
      <c r="A107" t="s">
        <v>256</v>
      </c>
      <c r="B107" t="s">
        <v>257</v>
      </c>
      <c r="C107" t="s">
        <v>258</v>
      </c>
      <c r="D107" t="s">
        <v>239</v>
      </c>
      <c r="E107" s="3">
        <v>45788</v>
      </c>
      <c r="F107" s="2">
        <v>0.45069444444444445</v>
      </c>
      <c r="G107">
        <v>1</v>
      </c>
      <c r="H107" t="s">
        <v>259</v>
      </c>
    </row>
    <row r="108" spans="1:8" x14ac:dyDescent="0.2">
      <c r="A108" t="s">
        <v>228</v>
      </c>
      <c r="B108" t="s">
        <v>229</v>
      </c>
      <c r="C108" t="s">
        <v>230</v>
      </c>
      <c r="D108" t="s">
        <v>239</v>
      </c>
      <c r="E108" s="3">
        <v>45788</v>
      </c>
      <c r="F108" s="2">
        <v>0.46041666666666664</v>
      </c>
      <c r="G108">
        <v>1</v>
      </c>
      <c r="H108" t="s">
        <v>231</v>
      </c>
    </row>
    <row r="109" spans="1:8" x14ac:dyDescent="0.2">
      <c r="A109" t="s">
        <v>235</v>
      </c>
      <c r="B109" t="s">
        <v>236</v>
      </c>
      <c r="C109" t="s">
        <v>230</v>
      </c>
      <c r="D109" t="s">
        <v>239</v>
      </c>
      <c r="E109" s="3">
        <v>45788</v>
      </c>
      <c r="F109" s="2">
        <v>0.46527777777777779</v>
      </c>
      <c r="G109">
        <v>1</v>
      </c>
    </row>
    <row r="110" spans="1:8" x14ac:dyDescent="0.2">
      <c r="A110" t="s">
        <v>240</v>
      </c>
      <c r="B110" t="s">
        <v>241</v>
      </c>
      <c r="C110" t="s">
        <v>230</v>
      </c>
      <c r="D110" t="s">
        <v>239</v>
      </c>
      <c r="E110" s="3">
        <v>45788</v>
      </c>
      <c r="F110" s="2">
        <v>0.46875</v>
      </c>
      <c r="G110">
        <v>1</v>
      </c>
    </row>
    <row r="111" spans="1:8" x14ac:dyDescent="0.2">
      <c r="A111" t="s">
        <v>84</v>
      </c>
      <c r="B111" t="s">
        <v>232</v>
      </c>
      <c r="C111" t="s">
        <v>230</v>
      </c>
      <c r="D111" t="s">
        <v>239</v>
      </c>
      <c r="E111" s="3">
        <v>45788</v>
      </c>
      <c r="F111" s="2">
        <v>0.47638888888888886</v>
      </c>
      <c r="G111">
        <v>1</v>
      </c>
      <c r="H111" t="s">
        <v>231</v>
      </c>
    </row>
    <row r="112" spans="1:8" x14ac:dyDescent="0.2">
      <c r="A112" t="s">
        <v>237</v>
      </c>
      <c r="B112" t="s">
        <v>238</v>
      </c>
      <c r="C112" t="s">
        <v>9</v>
      </c>
      <c r="D112" t="s">
        <v>239</v>
      </c>
      <c r="E112" s="3">
        <v>45788</v>
      </c>
      <c r="F112" s="2">
        <v>0.50416666666666665</v>
      </c>
      <c r="G112">
        <v>2</v>
      </c>
    </row>
    <row r="113" spans="1:8" x14ac:dyDescent="0.2">
      <c r="A113" t="s">
        <v>226</v>
      </c>
      <c r="B113" t="s">
        <v>227</v>
      </c>
      <c r="C113" t="s">
        <v>9</v>
      </c>
      <c r="D113" t="s">
        <v>239</v>
      </c>
      <c r="E113" s="3">
        <v>45788</v>
      </c>
      <c r="F113" s="2">
        <v>0.5083333333333333</v>
      </c>
      <c r="G113">
        <v>2</v>
      </c>
    </row>
    <row r="114" spans="1:8" x14ac:dyDescent="0.2">
      <c r="A114" t="s">
        <v>247</v>
      </c>
      <c r="B114" t="s">
        <v>248</v>
      </c>
      <c r="C114" t="s">
        <v>9</v>
      </c>
      <c r="D114" t="s">
        <v>239</v>
      </c>
      <c r="E114" s="3">
        <v>45788</v>
      </c>
      <c r="F114" s="2">
        <v>0.5131944444444444</v>
      </c>
      <c r="G114">
        <v>2</v>
      </c>
    </row>
    <row r="115" spans="1:8" x14ac:dyDescent="0.2">
      <c r="A115" t="s">
        <v>251</v>
      </c>
      <c r="B115" t="s">
        <v>252</v>
      </c>
      <c r="C115" t="s">
        <v>9</v>
      </c>
      <c r="D115" t="s">
        <v>239</v>
      </c>
      <c r="E115" s="3">
        <v>45788</v>
      </c>
      <c r="F115" s="2">
        <v>0.51666666666666672</v>
      </c>
      <c r="G115">
        <v>2</v>
      </c>
    </row>
    <row r="116" spans="1:8" x14ac:dyDescent="0.2">
      <c r="A116" t="s">
        <v>249</v>
      </c>
      <c r="B116" t="s">
        <v>250</v>
      </c>
      <c r="C116" t="s">
        <v>9</v>
      </c>
      <c r="D116" t="s">
        <v>239</v>
      </c>
      <c r="E116" s="3">
        <v>45788</v>
      </c>
      <c r="F116" s="2">
        <v>4.5138888888888888E-2</v>
      </c>
      <c r="G116">
        <v>3</v>
      </c>
    </row>
    <row r="117" spans="1:8" x14ac:dyDescent="0.2">
      <c r="A117" t="s">
        <v>262</v>
      </c>
      <c r="B117" t="s">
        <v>263</v>
      </c>
      <c r="C117" t="s">
        <v>9</v>
      </c>
      <c r="D117" t="s">
        <v>239</v>
      </c>
      <c r="E117" s="3">
        <v>45788</v>
      </c>
      <c r="F117" s="2">
        <v>5.8333333333333334E-2</v>
      </c>
      <c r="G117">
        <v>3</v>
      </c>
      <c r="H117" t="s">
        <v>264</v>
      </c>
    </row>
    <row r="118" spans="1:8" x14ac:dyDescent="0.2">
      <c r="A118" t="s">
        <v>242</v>
      </c>
      <c r="B118" t="s">
        <v>243</v>
      </c>
      <c r="C118" t="s">
        <v>9</v>
      </c>
      <c r="D118" t="s">
        <v>239</v>
      </c>
      <c r="E118" s="3">
        <v>45788</v>
      </c>
      <c r="F118" s="2">
        <v>6.1111111111111109E-2</v>
      </c>
      <c r="G118">
        <v>3</v>
      </c>
      <c r="H118" t="s">
        <v>24</v>
      </c>
    </row>
    <row r="119" spans="1:8" x14ac:dyDescent="0.2">
      <c r="A119" t="s">
        <v>244</v>
      </c>
      <c r="B119" t="s">
        <v>245</v>
      </c>
      <c r="C119" t="s">
        <v>9</v>
      </c>
      <c r="D119" t="s">
        <v>239</v>
      </c>
      <c r="E119" s="3">
        <v>45788</v>
      </c>
      <c r="F119" s="2">
        <v>6.9444444444444448E-2</v>
      </c>
      <c r="G119">
        <v>3</v>
      </c>
      <c r="H119" t="s">
        <v>246</v>
      </c>
    </row>
    <row r="120" spans="1:8" x14ac:dyDescent="0.2">
      <c r="A120" t="s">
        <v>233</v>
      </c>
      <c r="B120" t="s">
        <v>234</v>
      </c>
      <c r="C120" t="s">
        <v>9</v>
      </c>
      <c r="D120" t="s">
        <v>239</v>
      </c>
      <c r="E120" s="3">
        <v>45788</v>
      </c>
      <c r="F120" s="2">
        <v>7.7083333333333337E-2</v>
      </c>
      <c r="G120">
        <v>3</v>
      </c>
    </row>
    <row r="121" spans="1:8" x14ac:dyDescent="0.2">
      <c r="E121" s="3"/>
      <c r="F121" s="2"/>
    </row>
    <row r="122" spans="1:8" x14ac:dyDescent="0.2">
      <c r="A122" t="s">
        <v>271</v>
      </c>
      <c r="B122" t="s">
        <v>272</v>
      </c>
      <c r="C122" t="s">
        <v>273</v>
      </c>
      <c r="D122" t="s">
        <v>268</v>
      </c>
      <c r="E122" s="3">
        <v>45788</v>
      </c>
      <c r="F122" s="2">
        <v>0.43333333333333335</v>
      </c>
      <c r="G122">
        <v>1</v>
      </c>
    </row>
    <row r="123" spans="1:8" x14ac:dyDescent="0.2">
      <c r="A123" t="s">
        <v>299</v>
      </c>
      <c r="B123" t="s">
        <v>300</v>
      </c>
      <c r="C123" t="s">
        <v>273</v>
      </c>
      <c r="D123" t="s">
        <v>268</v>
      </c>
      <c r="E123" s="3">
        <v>45788</v>
      </c>
      <c r="F123" s="2">
        <v>0.4375</v>
      </c>
      <c r="G123">
        <v>1</v>
      </c>
    </row>
    <row r="124" spans="1:8" x14ac:dyDescent="0.2">
      <c r="A124" t="s">
        <v>289</v>
      </c>
      <c r="B124" t="s">
        <v>290</v>
      </c>
      <c r="C124" t="s">
        <v>273</v>
      </c>
      <c r="D124" t="s">
        <v>268</v>
      </c>
      <c r="E124" s="3">
        <v>45788</v>
      </c>
      <c r="F124" s="2">
        <v>0.44236111111111109</v>
      </c>
      <c r="G124">
        <v>1</v>
      </c>
    </row>
    <row r="125" spans="1:8" x14ac:dyDescent="0.2">
      <c r="A125" t="s">
        <v>297</v>
      </c>
      <c r="B125" t="s">
        <v>298</v>
      </c>
      <c r="C125" t="s">
        <v>255</v>
      </c>
      <c r="D125" t="s">
        <v>268</v>
      </c>
      <c r="E125" s="3">
        <v>45788</v>
      </c>
      <c r="F125" s="2">
        <v>0.44791666666666669</v>
      </c>
      <c r="G125">
        <v>1</v>
      </c>
      <c r="H125" t="s">
        <v>64</v>
      </c>
    </row>
    <row r="126" spans="1:8" x14ac:dyDescent="0.2">
      <c r="A126" t="s">
        <v>253</v>
      </c>
      <c r="B126" t="s">
        <v>254</v>
      </c>
      <c r="C126" t="s">
        <v>255</v>
      </c>
      <c r="D126" t="s">
        <v>268</v>
      </c>
      <c r="E126" s="3">
        <v>45788</v>
      </c>
      <c r="F126" s="2">
        <v>0.4513888888888889</v>
      </c>
      <c r="G126">
        <v>1</v>
      </c>
    </row>
    <row r="127" spans="1:8" x14ac:dyDescent="0.2">
      <c r="A127" t="s">
        <v>274</v>
      </c>
      <c r="B127" t="s">
        <v>275</v>
      </c>
      <c r="C127" t="s">
        <v>273</v>
      </c>
      <c r="D127" t="s">
        <v>268</v>
      </c>
      <c r="E127" s="3">
        <v>45788</v>
      </c>
      <c r="F127" s="2">
        <v>0.45555555555555555</v>
      </c>
      <c r="G127">
        <v>1</v>
      </c>
    </row>
    <row r="128" spans="1:8" x14ac:dyDescent="0.2">
      <c r="A128" t="s">
        <v>278</v>
      </c>
      <c r="B128" t="s">
        <v>261</v>
      </c>
      <c r="C128" t="s">
        <v>46</v>
      </c>
      <c r="D128" t="s">
        <v>268</v>
      </c>
      <c r="E128" s="3">
        <v>45788</v>
      </c>
      <c r="F128" s="2">
        <v>0.48749999999999999</v>
      </c>
      <c r="G128">
        <v>2</v>
      </c>
    </row>
    <row r="129" spans="1:8" x14ac:dyDescent="0.2">
      <c r="A129" t="s">
        <v>303</v>
      </c>
      <c r="B129" t="s">
        <v>304</v>
      </c>
      <c r="C129" t="s">
        <v>273</v>
      </c>
      <c r="D129" t="s">
        <v>268</v>
      </c>
      <c r="E129" s="3">
        <v>45788</v>
      </c>
      <c r="F129" s="2">
        <v>0.49236111111111114</v>
      </c>
      <c r="G129">
        <v>2</v>
      </c>
    </row>
    <row r="130" spans="1:8" x14ac:dyDescent="0.2">
      <c r="A130" t="s">
        <v>279</v>
      </c>
      <c r="B130" t="s">
        <v>280</v>
      </c>
      <c r="C130" t="s">
        <v>9</v>
      </c>
      <c r="D130" t="s">
        <v>268</v>
      </c>
      <c r="E130" s="3">
        <v>45788</v>
      </c>
      <c r="F130" s="2">
        <v>0.5</v>
      </c>
      <c r="G130">
        <v>2</v>
      </c>
    </row>
    <row r="131" spans="1:8" x14ac:dyDescent="0.2">
      <c r="A131" t="s">
        <v>291</v>
      </c>
      <c r="B131" t="s">
        <v>292</v>
      </c>
      <c r="C131" t="s">
        <v>9</v>
      </c>
      <c r="D131" t="s">
        <v>268</v>
      </c>
      <c r="E131" s="3">
        <v>45788</v>
      </c>
      <c r="F131" s="2">
        <v>0.50486111111111109</v>
      </c>
      <c r="G131">
        <v>2</v>
      </c>
      <c r="H131" t="s">
        <v>231</v>
      </c>
    </row>
    <row r="132" spans="1:8" x14ac:dyDescent="0.2">
      <c r="A132" t="s">
        <v>301</v>
      </c>
      <c r="B132" t="s">
        <v>302</v>
      </c>
      <c r="C132" t="s">
        <v>9</v>
      </c>
      <c r="D132" t="s">
        <v>268</v>
      </c>
      <c r="E132" s="3">
        <v>45788</v>
      </c>
      <c r="F132" s="2">
        <v>0.51111111111111107</v>
      </c>
      <c r="G132">
        <v>2</v>
      </c>
    </row>
    <row r="133" spans="1:8" x14ac:dyDescent="0.2">
      <c r="A133" t="s">
        <v>276</v>
      </c>
      <c r="B133" t="s">
        <v>277</v>
      </c>
      <c r="C133" t="s">
        <v>9</v>
      </c>
      <c r="D133" t="s">
        <v>268</v>
      </c>
      <c r="E133" s="3">
        <v>45788</v>
      </c>
      <c r="F133" s="2">
        <v>0.52083333333333337</v>
      </c>
      <c r="G133">
        <v>2</v>
      </c>
    </row>
    <row r="134" spans="1:8" x14ac:dyDescent="0.2">
      <c r="A134" t="s">
        <v>295</v>
      </c>
      <c r="B134" t="s">
        <v>296</v>
      </c>
      <c r="C134" t="s">
        <v>9</v>
      </c>
      <c r="D134" t="s">
        <v>268</v>
      </c>
      <c r="E134" s="3">
        <v>45788</v>
      </c>
      <c r="F134" s="2">
        <v>0.53125</v>
      </c>
      <c r="G134">
        <v>2</v>
      </c>
      <c r="H134" t="s">
        <v>173</v>
      </c>
    </row>
    <row r="135" spans="1:8" x14ac:dyDescent="0.2">
      <c r="A135" t="s">
        <v>286</v>
      </c>
      <c r="B135" t="s">
        <v>287</v>
      </c>
      <c r="C135" t="s">
        <v>9</v>
      </c>
      <c r="D135" t="s">
        <v>268</v>
      </c>
      <c r="E135" s="3">
        <v>45788</v>
      </c>
      <c r="F135" s="2">
        <v>0.53611111111111109</v>
      </c>
      <c r="G135">
        <v>2</v>
      </c>
    </row>
    <row r="136" spans="1:8" x14ac:dyDescent="0.2">
      <c r="A136" t="s">
        <v>281</v>
      </c>
      <c r="B136" t="s">
        <v>282</v>
      </c>
      <c r="C136" t="s">
        <v>9</v>
      </c>
      <c r="D136" t="s">
        <v>268</v>
      </c>
      <c r="E136" s="3">
        <v>45788</v>
      </c>
      <c r="F136" s="2">
        <v>4.791666666666667E-2</v>
      </c>
      <c r="G136">
        <v>2</v>
      </c>
    </row>
    <row r="137" spans="1:8" x14ac:dyDescent="0.2">
      <c r="A137" t="s">
        <v>283</v>
      </c>
      <c r="B137" t="s">
        <v>284</v>
      </c>
      <c r="C137" t="s">
        <v>9</v>
      </c>
      <c r="D137" t="s">
        <v>268</v>
      </c>
      <c r="E137" s="3">
        <v>45788</v>
      </c>
      <c r="F137" s="2">
        <v>5.2777777777777778E-2</v>
      </c>
      <c r="G137">
        <v>2</v>
      </c>
      <c r="H137" t="s">
        <v>285</v>
      </c>
    </row>
    <row r="138" spans="1:8" x14ac:dyDescent="0.2">
      <c r="A138" t="s">
        <v>288</v>
      </c>
      <c r="B138" t="s">
        <v>284</v>
      </c>
      <c r="C138" t="s">
        <v>9</v>
      </c>
      <c r="D138" t="s">
        <v>268</v>
      </c>
      <c r="E138" s="3">
        <v>45788</v>
      </c>
      <c r="F138" s="2">
        <v>5.2777777777777778E-2</v>
      </c>
      <c r="G138">
        <v>2</v>
      </c>
      <c r="H138" t="s">
        <v>285</v>
      </c>
    </row>
    <row r="139" spans="1:8" x14ac:dyDescent="0.2">
      <c r="A139" s="4" t="s">
        <v>265</v>
      </c>
      <c r="B139" s="4" t="s">
        <v>266</v>
      </c>
      <c r="C139" s="4" t="s">
        <v>9</v>
      </c>
      <c r="D139" s="4" t="s">
        <v>268</v>
      </c>
      <c r="E139" s="5">
        <v>45788</v>
      </c>
      <c r="F139" s="6">
        <v>6.0416666666666667E-2</v>
      </c>
      <c r="G139" s="4">
        <v>2</v>
      </c>
      <c r="H139" s="4"/>
    </row>
    <row r="140" spans="1:8" x14ac:dyDescent="0.2">
      <c r="A140" s="4" t="s">
        <v>260</v>
      </c>
      <c r="B140" s="4" t="s">
        <v>261</v>
      </c>
      <c r="C140" s="4" t="s">
        <v>46</v>
      </c>
      <c r="D140" s="4" t="s">
        <v>268</v>
      </c>
      <c r="E140" s="5">
        <v>45788</v>
      </c>
      <c r="F140" s="6">
        <v>7.6388888888888895E-2</v>
      </c>
      <c r="G140" s="4">
        <v>2</v>
      </c>
      <c r="H140" s="4"/>
    </row>
    <row r="141" spans="1:8" x14ac:dyDescent="0.2">
      <c r="A141" s="4" t="s">
        <v>267</v>
      </c>
      <c r="B141" s="4" t="s">
        <v>269</v>
      </c>
      <c r="C141" s="4" t="s">
        <v>9</v>
      </c>
      <c r="D141" s="4" t="s">
        <v>268</v>
      </c>
      <c r="E141" s="5">
        <v>45787</v>
      </c>
      <c r="F141" s="6">
        <v>0.12847222222222221</v>
      </c>
      <c r="G141" s="4">
        <v>3</v>
      </c>
      <c r="H141" s="4" t="s">
        <v>270</v>
      </c>
    </row>
    <row r="142" spans="1:8" x14ac:dyDescent="0.2">
      <c r="A142" s="4" t="s">
        <v>293</v>
      </c>
      <c r="B142" s="4" t="s">
        <v>294</v>
      </c>
      <c r="C142" s="4" t="s">
        <v>273</v>
      </c>
      <c r="D142" s="4" t="s">
        <v>268</v>
      </c>
      <c r="E142" s="5">
        <v>45788</v>
      </c>
      <c r="F142" s="6">
        <v>0.13958333333333334</v>
      </c>
      <c r="G142" s="4">
        <v>3</v>
      </c>
      <c r="H142" s="4"/>
    </row>
    <row r="143" spans="1:8" x14ac:dyDescent="0.2">
      <c r="E143" s="3"/>
      <c r="F143" s="2"/>
    </row>
    <row r="144" spans="1:8" x14ac:dyDescent="0.2">
      <c r="A144" s="4" t="s">
        <v>312</v>
      </c>
      <c r="B144" s="4" t="s">
        <v>313</v>
      </c>
      <c r="C144" s="4" t="s">
        <v>9</v>
      </c>
      <c r="D144" s="4" t="s">
        <v>306</v>
      </c>
      <c r="E144" s="5">
        <v>45788</v>
      </c>
      <c r="F144" s="6">
        <v>0.40902777777777777</v>
      </c>
      <c r="G144" s="4">
        <v>1</v>
      </c>
      <c r="H144" s="4"/>
    </row>
    <row r="145" spans="1:8" x14ac:dyDescent="0.2">
      <c r="A145" s="4" t="s">
        <v>343</v>
      </c>
      <c r="B145" s="4" t="s">
        <v>344</v>
      </c>
      <c r="C145" s="4" t="s">
        <v>9</v>
      </c>
      <c r="D145" s="4" t="s">
        <v>306</v>
      </c>
      <c r="E145" s="5">
        <v>45788</v>
      </c>
      <c r="F145" s="6">
        <v>0.41458333333333336</v>
      </c>
      <c r="G145" s="4">
        <v>1</v>
      </c>
      <c r="H145" s="4" t="s">
        <v>64</v>
      </c>
    </row>
    <row r="146" spans="1:8" x14ac:dyDescent="0.2">
      <c r="A146" s="4" t="s">
        <v>36</v>
      </c>
      <c r="B146" s="4" t="s">
        <v>318</v>
      </c>
      <c r="C146" s="4" t="s">
        <v>9</v>
      </c>
      <c r="D146" s="4" t="s">
        <v>306</v>
      </c>
      <c r="E146" s="5">
        <v>45788</v>
      </c>
      <c r="F146" s="6">
        <v>0.4201388888888889</v>
      </c>
      <c r="G146" s="4">
        <v>1</v>
      </c>
      <c r="H146" s="4"/>
    </row>
    <row r="147" spans="1:8" x14ac:dyDescent="0.2">
      <c r="A147" s="4" t="s">
        <v>336</v>
      </c>
      <c r="B147" s="4" t="s">
        <v>337</v>
      </c>
      <c r="C147" s="4" t="s">
        <v>9</v>
      </c>
      <c r="D147" s="4" t="s">
        <v>306</v>
      </c>
      <c r="E147" s="5">
        <v>45788</v>
      </c>
      <c r="F147" s="6">
        <v>0.42499999999999999</v>
      </c>
      <c r="G147" s="4">
        <v>1</v>
      </c>
      <c r="H147" s="4"/>
    </row>
    <row r="148" spans="1:8" x14ac:dyDescent="0.2">
      <c r="A148" s="4" t="s">
        <v>330</v>
      </c>
      <c r="B148" s="4" t="s">
        <v>331</v>
      </c>
      <c r="C148" s="4" t="s">
        <v>9</v>
      </c>
      <c r="D148" s="4" t="s">
        <v>306</v>
      </c>
      <c r="E148" s="5">
        <v>45788</v>
      </c>
      <c r="F148" s="6">
        <v>0.4284722222222222</v>
      </c>
      <c r="G148" s="4">
        <v>1</v>
      </c>
      <c r="H148" s="4"/>
    </row>
    <row r="149" spans="1:8" x14ac:dyDescent="0.2">
      <c r="A149" s="4" t="s">
        <v>6</v>
      </c>
      <c r="B149" s="4" t="s">
        <v>328</v>
      </c>
      <c r="C149" s="4" t="s">
        <v>9</v>
      </c>
      <c r="D149" s="4" t="s">
        <v>306</v>
      </c>
      <c r="E149" s="5">
        <v>45788</v>
      </c>
      <c r="F149" s="6">
        <v>0.43402777777777779</v>
      </c>
      <c r="G149" s="4">
        <v>1</v>
      </c>
      <c r="H149" s="4"/>
    </row>
    <row r="150" spans="1:8" x14ac:dyDescent="0.2">
      <c r="A150" s="4" t="s">
        <v>319</v>
      </c>
      <c r="B150" s="4" t="s">
        <v>320</v>
      </c>
      <c r="C150" s="4" t="s">
        <v>9</v>
      </c>
      <c r="D150" s="4" t="s">
        <v>306</v>
      </c>
      <c r="E150" s="5">
        <v>45788</v>
      </c>
      <c r="F150" s="6">
        <v>0.4375</v>
      </c>
      <c r="G150" s="4">
        <v>1</v>
      </c>
      <c r="H150" s="4"/>
    </row>
    <row r="151" spans="1:8" x14ac:dyDescent="0.2">
      <c r="A151" s="4" t="s">
        <v>333</v>
      </c>
      <c r="B151" s="4" t="s">
        <v>334</v>
      </c>
      <c r="C151" s="4" t="s">
        <v>128</v>
      </c>
      <c r="D151" s="4" t="s">
        <v>306</v>
      </c>
      <c r="E151" s="5">
        <v>45788</v>
      </c>
      <c r="F151" s="7">
        <v>0.44444444444444442</v>
      </c>
      <c r="G151" s="4">
        <v>1</v>
      </c>
      <c r="H151" s="4"/>
    </row>
    <row r="152" spans="1:8" x14ac:dyDescent="0.2">
      <c r="A152" s="4" t="s">
        <v>307</v>
      </c>
      <c r="B152" s="4" t="s">
        <v>308</v>
      </c>
      <c r="C152" s="4" t="s">
        <v>128</v>
      </c>
      <c r="D152" s="4" t="s">
        <v>306</v>
      </c>
      <c r="E152" s="5">
        <v>45788</v>
      </c>
      <c r="F152" s="7">
        <v>0.4513888888888889</v>
      </c>
      <c r="G152" s="4">
        <v>1</v>
      </c>
      <c r="H152" s="4"/>
    </row>
    <row r="153" spans="1:8" x14ac:dyDescent="0.2">
      <c r="A153" s="4" t="s">
        <v>314</v>
      </c>
      <c r="B153" s="4" t="s">
        <v>315</v>
      </c>
      <c r="C153" s="4" t="s">
        <v>9</v>
      </c>
      <c r="D153" s="4" t="s">
        <v>306</v>
      </c>
      <c r="E153" s="5">
        <v>45787</v>
      </c>
      <c r="F153" s="6">
        <v>0.45763888888888887</v>
      </c>
      <c r="G153" s="4">
        <v>1</v>
      </c>
      <c r="H153" s="4"/>
    </row>
    <row r="154" spans="1:8" x14ac:dyDescent="0.2">
      <c r="A154" s="4" t="s">
        <v>219</v>
      </c>
      <c r="B154" s="4" t="s">
        <v>347</v>
      </c>
      <c r="C154" s="4" t="s">
        <v>9</v>
      </c>
      <c r="D154" s="4" t="s">
        <v>306</v>
      </c>
      <c r="E154" s="5">
        <v>45788</v>
      </c>
      <c r="F154" s="6">
        <v>0.45833333333333331</v>
      </c>
      <c r="G154" s="4">
        <v>1</v>
      </c>
      <c r="H154" s="4"/>
    </row>
    <row r="155" spans="1:8" x14ac:dyDescent="0.2">
      <c r="A155" s="4" t="s">
        <v>338</v>
      </c>
      <c r="B155" s="4" t="s">
        <v>339</v>
      </c>
      <c r="C155" s="4" t="s">
        <v>9</v>
      </c>
      <c r="D155" s="4" t="s">
        <v>306</v>
      </c>
      <c r="E155" s="5">
        <v>45788</v>
      </c>
      <c r="F155" s="6">
        <v>0.46250000000000002</v>
      </c>
      <c r="G155" s="4">
        <v>1</v>
      </c>
      <c r="H155" s="4"/>
    </row>
    <row r="156" spans="1:8" x14ac:dyDescent="0.2">
      <c r="A156" s="4" t="s">
        <v>316</v>
      </c>
      <c r="B156" s="4" t="s">
        <v>317</v>
      </c>
      <c r="C156" s="4" t="s">
        <v>9</v>
      </c>
      <c r="D156" s="4" t="s">
        <v>306</v>
      </c>
      <c r="E156" s="5">
        <v>45788</v>
      </c>
      <c r="F156" s="6">
        <v>0.48194444444444445</v>
      </c>
      <c r="G156" s="4">
        <v>2</v>
      </c>
      <c r="H156" s="4"/>
    </row>
    <row r="157" spans="1:8" x14ac:dyDescent="0.2">
      <c r="A157" s="4" t="s">
        <v>327</v>
      </c>
      <c r="B157" s="4" t="s">
        <v>386</v>
      </c>
      <c r="C157" s="4" t="s">
        <v>9</v>
      </c>
      <c r="D157" s="4" t="s">
        <v>306</v>
      </c>
      <c r="E157" s="5">
        <v>45788</v>
      </c>
      <c r="F157" s="6">
        <v>0.48888888888888887</v>
      </c>
      <c r="G157" s="4">
        <v>2</v>
      </c>
      <c r="H157" s="4"/>
    </row>
    <row r="158" spans="1:8" x14ac:dyDescent="0.2">
      <c r="A158" s="4" t="s">
        <v>332</v>
      </c>
      <c r="B158" s="4" t="s">
        <v>88</v>
      </c>
      <c r="C158" s="4" t="s">
        <v>9</v>
      </c>
      <c r="D158" s="4" t="s">
        <v>306</v>
      </c>
      <c r="E158" s="5">
        <v>45788</v>
      </c>
      <c r="F158" s="6">
        <v>0.49444444444444446</v>
      </c>
      <c r="G158" s="4">
        <v>2</v>
      </c>
      <c r="H158" s="4"/>
    </row>
    <row r="159" spans="1:8" x14ac:dyDescent="0.2">
      <c r="A159" s="4" t="s">
        <v>29</v>
      </c>
      <c r="B159" s="4" t="s">
        <v>335</v>
      </c>
      <c r="C159" s="4" t="s">
        <v>9</v>
      </c>
      <c r="D159" s="4" t="s">
        <v>306</v>
      </c>
      <c r="E159" s="5">
        <v>45788</v>
      </c>
      <c r="F159" s="6">
        <v>0.49930555555555556</v>
      </c>
      <c r="G159" s="4">
        <v>2</v>
      </c>
      <c r="H159" s="4" t="s">
        <v>81</v>
      </c>
    </row>
    <row r="160" spans="1:8" x14ac:dyDescent="0.2">
      <c r="A160" s="4" t="s">
        <v>237</v>
      </c>
      <c r="B160" s="4" t="s">
        <v>342</v>
      </c>
      <c r="C160" s="4" t="s">
        <v>101</v>
      </c>
      <c r="D160" s="4" t="s">
        <v>306</v>
      </c>
      <c r="E160" s="5">
        <v>45788</v>
      </c>
      <c r="F160" s="6">
        <v>0.5131944444444444</v>
      </c>
      <c r="G160" s="4">
        <v>2</v>
      </c>
      <c r="H160" s="4"/>
    </row>
    <row r="161" spans="1:8" x14ac:dyDescent="0.2">
      <c r="A161" s="4" t="s">
        <v>305</v>
      </c>
      <c r="B161" s="4" t="s">
        <v>309</v>
      </c>
      <c r="C161" s="4" t="s">
        <v>101</v>
      </c>
      <c r="D161" s="4" t="s">
        <v>306</v>
      </c>
      <c r="E161" s="5">
        <v>45788</v>
      </c>
      <c r="F161" s="6">
        <v>0.5180555555555556</v>
      </c>
      <c r="G161" s="4">
        <v>2</v>
      </c>
      <c r="H161" s="4"/>
    </row>
    <row r="162" spans="1:8" x14ac:dyDescent="0.2">
      <c r="A162" s="4" t="s">
        <v>321</v>
      </c>
      <c r="B162" s="4" t="s">
        <v>322</v>
      </c>
      <c r="C162" s="4" t="s">
        <v>323</v>
      </c>
      <c r="D162" s="4" t="s">
        <v>306</v>
      </c>
      <c r="E162" s="5">
        <v>45788</v>
      </c>
      <c r="F162" s="6">
        <v>0.52430555555555558</v>
      </c>
      <c r="G162" s="4">
        <v>2</v>
      </c>
      <c r="H162" s="4"/>
    </row>
    <row r="163" spans="1:8" x14ac:dyDescent="0.2">
      <c r="A163" s="4" t="s">
        <v>345</v>
      </c>
      <c r="B163" s="4" t="s">
        <v>346</v>
      </c>
      <c r="C163" s="4" t="s">
        <v>326</v>
      </c>
      <c r="D163" s="4" t="s">
        <v>306</v>
      </c>
      <c r="E163" s="5">
        <v>45788</v>
      </c>
      <c r="F163" s="6">
        <v>0.53263888888888888</v>
      </c>
      <c r="G163" s="4">
        <v>2</v>
      </c>
      <c r="H163" s="4" t="s">
        <v>24</v>
      </c>
    </row>
    <row r="164" spans="1:8" x14ac:dyDescent="0.2">
      <c r="A164" s="4" t="s">
        <v>340</v>
      </c>
      <c r="B164" s="4" t="s">
        <v>341</v>
      </c>
      <c r="C164" s="4" t="s">
        <v>326</v>
      </c>
      <c r="D164" s="4" t="s">
        <v>306</v>
      </c>
      <c r="E164" s="5">
        <v>45788</v>
      </c>
      <c r="F164" s="6">
        <v>0.53611111111111109</v>
      </c>
      <c r="G164" s="4">
        <v>2</v>
      </c>
      <c r="H164" s="4" t="s">
        <v>24</v>
      </c>
    </row>
    <row r="165" spans="1:8" x14ac:dyDescent="0.2">
      <c r="A165" s="4" t="s">
        <v>114</v>
      </c>
      <c r="B165" s="4" t="s">
        <v>329</v>
      </c>
      <c r="C165" s="4" t="s">
        <v>326</v>
      </c>
      <c r="D165" s="4" t="s">
        <v>306</v>
      </c>
      <c r="E165" s="5">
        <v>45788</v>
      </c>
      <c r="F165" s="6">
        <v>0.54027777777777775</v>
      </c>
      <c r="G165" s="4">
        <v>2</v>
      </c>
      <c r="H165" s="4"/>
    </row>
    <row r="166" spans="1:8" x14ac:dyDescent="0.2">
      <c r="A166" s="4" t="s">
        <v>324</v>
      </c>
      <c r="B166" s="4" t="s">
        <v>325</v>
      </c>
      <c r="C166" s="4" t="s">
        <v>326</v>
      </c>
      <c r="D166" s="4" t="s">
        <v>306</v>
      </c>
      <c r="E166" s="5">
        <v>45788</v>
      </c>
      <c r="F166" s="6">
        <v>4.7222222222222221E-2</v>
      </c>
      <c r="G166" s="4">
        <v>2</v>
      </c>
      <c r="H166" s="4"/>
    </row>
    <row r="167" spans="1:8" x14ac:dyDescent="0.2">
      <c r="A167" s="4" t="s">
        <v>129</v>
      </c>
      <c r="B167" s="4" t="s">
        <v>310</v>
      </c>
      <c r="C167" s="4" t="s">
        <v>311</v>
      </c>
      <c r="D167" s="4" t="s">
        <v>306</v>
      </c>
      <c r="E167" s="5">
        <v>45788</v>
      </c>
      <c r="F167" s="6">
        <v>6.25E-2</v>
      </c>
      <c r="G167" s="4">
        <v>2</v>
      </c>
      <c r="H167" s="4"/>
    </row>
    <row r="168" spans="1:8" x14ac:dyDescent="0.2">
      <c r="E168" s="3"/>
      <c r="F168" s="2"/>
    </row>
    <row r="169" spans="1:8" x14ac:dyDescent="0.2">
      <c r="A169" s="4" t="s">
        <v>367</v>
      </c>
      <c r="B169" s="4" t="s">
        <v>368</v>
      </c>
      <c r="C169" s="4" t="s">
        <v>9</v>
      </c>
      <c r="D169" s="4" t="s">
        <v>182</v>
      </c>
      <c r="E169" s="5">
        <v>45788</v>
      </c>
      <c r="F169" s="6">
        <v>0.4201388888888889</v>
      </c>
      <c r="G169" s="4">
        <v>1</v>
      </c>
      <c r="H169" s="4"/>
    </row>
    <row r="170" spans="1:8" x14ac:dyDescent="0.2">
      <c r="A170" s="4" t="s">
        <v>350</v>
      </c>
      <c r="B170" s="4" t="s">
        <v>353</v>
      </c>
      <c r="C170" s="4" t="s">
        <v>9</v>
      </c>
      <c r="D170" s="4" t="s">
        <v>182</v>
      </c>
      <c r="E170" s="5">
        <v>45788</v>
      </c>
      <c r="F170" s="6">
        <v>0.42986111111111114</v>
      </c>
      <c r="G170" s="4">
        <v>1</v>
      </c>
      <c r="H170" s="4" t="s">
        <v>59</v>
      </c>
    </row>
    <row r="171" spans="1:8" x14ac:dyDescent="0.2">
      <c r="A171" s="4" t="s">
        <v>352</v>
      </c>
      <c r="B171" s="4" t="s">
        <v>353</v>
      </c>
      <c r="C171" s="4" t="s">
        <v>9</v>
      </c>
      <c r="D171" s="4" t="s">
        <v>182</v>
      </c>
      <c r="E171" s="5">
        <v>45788</v>
      </c>
      <c r="F171" s="6">
        <v>0.42986111111111114</v>
      </c>
      <c r="G171" s="4">
        <v>1</v>
      </c>
      <c r="H171" s="4"/>
    </row>
    <row r="172" spans="1:8" x14ac:dyDescent="0.2">
      <c r="A172" s="4" t="s">
        <v>176</v>
      </c>
      <c r="B172" s="4" t="s">
        <v>353</v>
      </c>
      <c r="C172" s="4" t="s">
        <v>9</v>
      </c>
      <c r="D172" s="4" t="s">
        <v>182</v>
      </c>
      <c r="E172" s="5">
        <v>45788</v>
      </c>
      <c r="F172" s="6">
        <v>0.42986111111111114</v>
      </c>
      <c r="G172" s="4">
        <v>1</v>
      </c>
      <c r="H172" s="4"/>
    </row>
    <row r="173" spans="1:8" x14ac:dyDescent="0.2">
      <c r="A173" s="4" t="s">
        <v>363</v>
      </c>
      <c r="B173" s="4" t="s">
        <v>353</v>
      </c>
      <c r="C173" s="4" t="s">
        <v>9</v>
      </c>
      <c r="D173" s="4" t="s">
        <v>182</v>
      </c>
      <c r="E173" s="5">
        <v>45788</v>
      </c>
      <c r="F173" s="6">
        <v>0.42986111111111114</v>
      </c>
      <c r="G173" s="4">
        <v>1</v>
      </c>
      <c r="H173" s="4"/>
    </row>
    <row r="174" spans="1:8" x14ac:dyDescent="0.2">
      <c r="A174" s="4" t="s">
        <v>366</v>
      </c>
      <c r="B174" s="4" t="s">
        <v>353</v>
      </c>
      <c r="C174" s="4" t="s">
        <v>9</v>
      </c>
      <c r="D174" s="4" t="s">
        <v>182</v>
      </c>
      <c r="E174" s="5">
        <v>45788</v>
      </c>
      <c r="F174" s="6">
        <v>0.42986111111111114</v>
      </c>
      <c r="G174" s="4">
        <v>1</v>
      </c>
      <c r="H174" s="4"/>
    </row>
    <row r="175" spans="1:8" x14ac:dyDescent="0.2">
      <c r="A175" s="4" t="s">
        <v>379</v>
      </c>
      <c r="B175" s="4" t="s">
        <v>85</v>
      </c>
      <c r="C175" s="4" t="s">
        <v>9</v>
      </c>
      <c r="D175" s="4" t="s">
        <v>182</v>
      </c>
      <c r="E175" s="5">
        <v>45788</v>
      </c>
      <c r="F175" s="6">
        <v>0.46250000000000002</v>
      </c>
      <c r="G175" s="4"/>
      <c r="H175" s="4"/>
    </row>
    <row r="176" spans="1:8" x14ac:dyDescent="0.2">
      <c r="A176" s="4" t="s">
        <v>348</v>
      </c>
      <c r="B176" s="4" t="s">
        <v>85</v>
      </c>
      <c r="C176" s="4" t="s">
        <v>9</v>
      </c>
      <c r="D176" s="4" t="s">
        <v>182</v>
      </c>
      <c r="E176" s="5">
        <v>45788</v>
      </c>
      <c r="F176" s="6">
        <v>0.46250000000000002</v>
      </c>
      <c r="G176" s="4">
        <v>2</v>
      </c>
      <c r="H176" s="4"/>
    </row>
    <row r="177" spans="1:8" x14ac:dyDescent="0.2">
      <c r="A177" s="4" t="s">
        <v>349</v>
      </c>
      <c r="B177" s="4" t="s">
        <v>85</v>
      </c>
      <c r="C177" s="4" t="s">
        <v>9</v>
      </c>
      <c r="D177" s="4" t="s">
        <v>182</v>
      </c>
      <c r="E177" s="5">
        <v>45788</v>
      </c>
      <c r="F177" s="6">
        <v>0.46250000000000002</v>
      </c>
      <c r="G177" s="4">
        <v>2</v>
      </c>
      <c r="H177" s="4"/>
    </row>
    <row r="178" spans="1:8" x14ac:dyDescent="0.2">
      <c r="A178" s="4" t="s">
        <v>351</v>
      </c>
      <c r="B178" s="4" t="s">
        <v>85</v>
      </c>
      <c r="C178" s="4" t="s">
        <v>9</v>
      </c>
      <c r="D178" s="4" t="s">
        <v>182</v>
      </c>
      <c r="E178" s="5">
        <v>45788</v>
      </c>
      <c r="F178" s="6">
        <v>0.46250000000000002</v>
      </c>
      <c r="G178" s="4">
        <v>2</v>
      </c>
      <c r="H178" s="4"/>
    </row>
    <row r="179" spans="1:8" x14ac:dyDescent="0.2">
      <c r="A179" s="4" t="s">
        <v>354</v>
      </c>
      <c r="B179" s="4" t="s">
        <v>85</v>
      </c>
      <c r="C179" s="4" t="s">
        <v>9</v>
      </c>
      <c r="D179" s="4" t="s">
        <v>182</v>
      </c>
      <c r="E179" s="5">
        <v>45788</v>
      </c>
      <c r="F179" s="6">
        <v>0.46250000000000002</v>
      </c>
      <c r="G179" s="4">
        <v>2</v>
      </c>
      <c r="H179" s="4"/>
    </row>
    <row r="180" spans="1:8" x14ac:dyDescent="0.2">
      <c r="A180" s="4" t="s">
        <v>84</v>
      </c>
      <c r="B180" s="4" t="s">
        <v>85</v>
      </c>
      <c r="C180" s="4" t="s">
        <v>9</v>
      </c>
      <c r="D180" s="4" t="s">
        <v>182</v>
      </c>
      <c r="E180" s="5">
        <v>45788</v>
      </c>
      <c r="F180" s="6">
        <v>0.46250000000000002</v>
      </c>
      <c r="G180" s="4">
        <v>2</v>
      </c>
      <c r="H180" s="4" t="s">
        <v>24</v>
      </c>
    </row>
    <row r="181" spans="1:8" x14ac:dyDescent="0.2">
      <c r="A181" s="4" t="s">
        <v>355</v>
      </c>
      <c r="B181" s="4" t="s">
        <v>85</v>
      </c>
      <c r="C181" s="4" t="s">
        <v>9</v>
      </c>
      <c r="D181" s="4" t="s">
        <v>182</v>
      </c>
      <c r="E181" s="5">
        <v>45788</v>
      </c>
      <c r="F181" s="6">
        <v>0.46250000000000002</v>
      </c>
      <c r="G181" s="4">
        <v>2</v>
      </c>
      <c r="H181" s="4"/>
    </row>
    <row r="182" spans="1:8" x14ac:dyDescent="0.2">
      <c r="A182" s="4" t="s">
        <v>365</v>
      </c>
      <c r="B182" s="4" t="s">
        <v>85</v>
      </c>
      <c r="C182" s="4" t="s">
        <v>9</v>
      </c>
      <c r="D182" s="4" t="s">
        <v>182</v>
      </c>
      <c r="E182" s="5">
        <v>45788</v>
      </c>
      <c r="F182" s="6">
        <v>0.46250000000000002</v>
      </c>
      <c r="G182" s="4">
        <v>2</v>
      </c>
      <c r="H182" s="4" t="s">
        <v>259</v>
      </c>
    </row>
    <row r="183" spans="1:8" x14ac:dyDescent="0.2">
      <c r="A183" s="4" t="s">
        <v>356</v>
      </c>
      <c r="B183" s="4" t="s">
        <v>357</v>
      </c>
      <c r="C183" s="4" t="s">
        <v>9</v>
      </c>
      <c r="D183" s="4" t="s">
        <v>182</v>
      </c>
      <c r="E183" s="5">
        <v>45788</v>
      </c>
      <c r="F183" s="6">
        <v>0.5083333333333333</v>
      </c>
      <c r="G183" s="4">
        <v>3</v>
      </c>
      <c r="H183" s="4" t="s">
        <v>64</v>
      </c>
    </row>
    <row r="184" spans="1:8" x14ac:dyDescent="0.2">
      <c r="A184" s="4" t="s">
        <v>364</v>
      </c>
      <c r="B184" s="4" t="s">
        <v>357</v>
      </c>
      <c r="C184" s="4" t="s">
        <v>9</v>
      </c>
      <c r="D184" s="4" t="s">
        <v>182</v>
      </c>
      <c r="E184" s="5">
        <v>45788</v>
      </c>
      <c r="F184" s="6">
        <v>0.51597222222222228</v>
      </c>
      <c r="G184" s="4">
        <v>3</v>
      </c>
      <c r="H184" s="4" t="s">
        <v>264</v>
      </c>
    </row>
    <row r="185" spans="1:8" x14ac:dyDescent="0.2">
      <c r="A185" s="4" t="s">
        <v>358</v>
      </c>
      <c r="B185" s="4" t="s">
        <v>359</v>
      </c>
      <c r="C185" s="4" t="s">
        <v>360</v>
      </c>
      <c r="D185" s="4" t="s">
        <v>182</v>
      </c>
      <c r="E185" s="5">
        <v>45788</v>
      </c>
      <c r="F185" s="6">
        <v>0.52500000000000002</v>
      </c>
      <c r="G185" s="4">
        <v>3</v>
      </c>
      <c r="H185" s="4"/>
    </row>
    <row r="186" spans="1:8" x14ac:dyDescent="0.2">
      <c r="A186" s="4" t="s">
        <v>129</v>
      </c>
      <c r="B186" s="4" t="s">
        <v>361</v>
      </c>
      <c r="C186" s="4" t="s">
        <v>362</v>
      </c>
      <c r="D186" s="4" t="s">
        <v>182</v>
      </c>
      <c r="E186" s="5">
        <v>45788</v>
      </c>
      <c r="F186" s="6">
        <v>5.5555555555555552E-2</v>
      </c>
      <c r="G186" s="4">
        <v>3</v>
      </c>
      <c r="H186" s="4"/>
    </row>
    <row r="187" spans="1:8" x14ac:dyDescent="0.2">
      <c r="E187" s="3"/>
      <c r="F187" s="2"/>
    </row>
    <row r="188" spans="1:8" x14ac:dyDescent="0.2">
      <c r="A188" s="4" t="s">
        <v>377</v>
      </c>
      <c r="B188" s="4" t="s">
        <v>378</v>
      </c>
      <c r="C188" s="4" t="s">
        <v>9</v>
      </c>
      <c r="D188" s="4" t="s">
        <v>371</v>
      </c>
      <c r="E188" s="5">
        <v>45788</v>
      </c>
      <c r="F188" s="6">
        <v>0.40555555555555556</v>
      </c>
      <c r="G188" s="4">
        <v>1</v>
      </c>
      <c r="H188" s="4"/>
    </row>
    <row r="189" spans="1:8" x14ac:dyDescent="0.2">
      <c r="A189" s="4" t="s">
        <v>384</v>
      </c>
      <c r="B189" s="4" t="s">
        <v>385</v>
      </c>
      <c r="C189" s="4" t="s">
        <v>9</v>
      </c>
      <c r="D189" s="4" t="s">
        <v>371</v>
      </c>
      <c r="E189" s="5">
        <v>45788</v>
      </c>
      <c r="F189" s="6">
        <v>0.40763888888888888</v>
      </c>
      <c r="G189" s="4">
        <v>1</v>
      </c>
      <c r="H189" s="4"/>
    </row>
    <row r="190" spans="1:8" x14ac:dyDescent="0.2">
      <c r="A190" s="4" t="s">
        <v>372</v>
      </c>
      <c r="B190" s="4" t="s">
        <v>373</v>
      </c>
      <c r="C190" s="4" t="s">
        <v>9</v>
      </c>
      <c r="D190" s="4" t="s">
        <v>371</v>
      </c>
      <c r="E190" s="5">
        <v>45788</v>
      </c>
      <c r="F190" s="6">
        <v>0.43819444444444444</v>
      </c>
      <c r="G190" s="4">
        <v>1</v>
      </c>
      <c r="H190" s="4"/>
    </row>
    <row r="191" spans="1:8" x14ac:dyDescent="0.2">
      <c r="A191" s="4" t="s">
        <v>369</v>
      </c>
      <c r="B191" s="4" t="s">
        <v>370</v>
      </c>
      <c r="C191" s="4" t="s">
        <v>9</v>
      </c>
      <c r="D191" s="4" t="s">
        <v>371</v>
      </c>
      <c r="E191" s="5">
        <v>45788</v>
      </c>
      <c r="F191" s="6">
        <v>0.48541666666666666</v>
      </c>
      <c r="G191" s="4">
        <v>2</v>
      </c>
      <c r="H191" s="4"/>
    </row>
    <row r="192" spans="1:8" x14ac:dyDescent="0.2">
      <c r="A192" s="4" t="s">
        <v>380</v>
      </c>
      <c r="B192" s="4" t="s">
        <v>381</v>
      </c>
      <c r="C192" s="4" t="s">
        <v>9</v>
      </c>
      <c r="D192" s="4" t="s">
        <v>371</v>
      </c>
      <c r="E192" s="5">
        <v>45788</v>
      </c>
      <c r="F192" s="6">
        <v>0.4909722222222222</v>
      </c>
      <c r="G192" s="4">
        <v>2</v>
      </c>
      <c r="H192" s="4"/>
    </row>
    <row r="193" spans="1:8" x14ac:dyDescent="0.2">
      <c r="A193" s="4" t="s">
        <v>374</v>
      </c>
      <c r="B193" s="4" t="s">
        <v>375</v>
      </c>
      <c r="C193" s="4" t="s">
        <v>9</v>
      </c>
      <c r="D193" s="4" t="s">
        <v>371</v>
      </c>
      <c r="E193" s="5">
        <v>45788</v>
      </c>
      <c r="F193" s="6">
        <v>0.49861111111111112</v>
      </c>
      <c r="G193" s="4">
        <v>2</v>
      </c>
      <c r="H193" s="4" t="s">
        <v>376</v>
      </c>
    </row>
    <row r="194" spans="1:8" x14ac:dyDescent="0.2">
      <c r="A194" s="4" t="s">
        <v>382</v>
      </c>
      <c r="B194" s="4" t="s">
        <v>383</v>
      </c>
      <c r="C194" s="4" t="s">
        <v>362</v>
      </c>
      <c r="D194" s="4" t="s">
        <v>371</v>
      </c>
      <c r="E194" s="5">
        <v>45788</v>
      </c>
      <c r="F194" s="6">
        <v>4.5138888888888888E-2</v>
      </c>
      <c r="G194" s="4">
        <v>3</v>
      </c>
      <c r="H194" s="4"/>
    </row>
    <row r="200" spans="1:8" x14ac:dyDescent="0.2">
      <c r="E200" s="3"/>
    </row>
    <row r="201" spans="1:8" x14ac:dyDescent="0.2">
      <c r="E2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6976-73CE-4047-9474-39B02180AE0C}">
  <dimension ref="A1:M129"/>
  <sheetViews>
    <sheetView tabSelected="1" topLeftCell="D111" zoomScale="130" zoomScaleNormal="130" workbookViewId="0">
      <selection activeCell="K131" sqref="K131"/>
    </sheetView>
  </sheetViews>
  <sheetFormatPr baseColWidth="10" defaultRowHeight="16" x14ac:dyDescent="0.2"/>
  <cols>
    <col min="2" max="2" width="25" bestFit="1" customWidth="1"/>
    <col min="3" max="3" width="14.83203125" bestFit="1" customWidth="1"/>
  </cols>
  <sheetData>
    <row r="1" spans="1:13" x14ac:dyDescent="0.2">
      <c r="A1" s="1" t="s">
        <v>1</v>
      </c>
      <c r="B1" s="1" t="s">
        <v>0</v>
      </c>
      <c r="C1" s="1" t="s">
        <v>8</v>
      </c>
      <c r="D1" s="1" t="s">
        <v>2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387</v>
      </c>
      <c r="J1" s="1" t="s">
        <v>389</v>
      </c>
      <c r="K1" s="8" t="s">
        <v>388</v>
      </c>
      <c r="L1" s="1" t="s">
        <v>390</v>
      </c>
    </row>
    <row r="2" spans="1:13" x14ac:dyDescent="0.2">
      <c r="A2" t="s">
        <v>25</v>
      </c>
      <c r="B2" t="s">
        <v>26</v>
      </c>
      <c r="C2" t="s">
        <v>9</v>
      </c>
      <c r="D2" t="s">
        <v>10</v>
      </c>
      <c r="E2" s="3">
        <v>45788</v>
      </c>
      <c r="F2" s="2">
        <v>0.44930555555555557</v>
      </c>
      <c r="G2">
        <v>1</v>
      </c>
      <c r="K2" s="9"/>
      <c r="L2">
        <v>5</v>
      </c>
      <c r="M2">
        <v>2.2999999999999998</v>
      </c>
    </row>
    <row r="3" spans="1:13" x14ac:dyDescent="0.2">
      <c r="A3" t="s">
        <v>29</v>
      </c>
      <c r="B3" t="s">
        <v>30</v>
      </c>
      <c r="C3" t="s">
        <v>9</v>
      </c>
      <c r="D3" t="s">
        <v>10</v>
      </c>
      <c r="E3" s="3">
        <v>45788</v>
      </c>
      <c r="F3" s="2">
        <v>0.4513888888888889</v>
      </c>
      <c r="G3">
        <v>1</v>
      </c>
      <c r="H3">
        <v>4</v>
      </c>
      <c r="I3">
        <v>1.1000000000000001</v>
      </c>
      <c r="K3" s="9"/>
      <c r="L3">
        <v>5</v>
      </c>
      <c r="M3">
        <v>1.8</v>
      </c>
    </row>
    <row r="4" spans="1:13" x14ac:dyDescent="0.2">
      <c r="A4" t="s">
        <v>11</v>
      </c>
      <c r="B4" t="s">
        <v>12</v>
      </c>
      <c r="C4" t="s">
        <v>9</v>
      </c>
      <c r="D4" t="s">
        <v>10</v>
      </c>
      <c r="E4" s="3">
        <v>45788</v>
      </c>
      <c r="F4" s="2">
        <v>0.45833333333333331</v>
      </c>
      <c r="G4">
        <v>1</v>
      </c>
      <c r="H4">
        <v>2</v>
      </c>
      <c r="I4">
        <v>0.4</v>
      </c>
      <c r="J4">
        <f>SUM(H3:H4)</f>
        <v>6</v>
      </c>
      <c r="K4" s="9">
        <f>SUM(I3:I4)</f>
        <v>1.5</v>
      </c>
    </row>
    <row r="5" spans="1:13" x14ac:dyDescent="0.2">
      <c r="E5" s="3"/>
      <c r="F5" s="2"/>
      <c r="K5" s="9"/>
    </row>
    <row r="6" spans="1:13" x14ac:dyDescent="0.2">
      <c r="A6" t="s">
        <v>13</v>
      </c>
      <c r="B6" t="s">
        <v>14</v>
      </c>
      <c r="C6" t="s">
        <v>9</v>
      </c>
      <c r="D6" t="s">
        <v>10</v>
      </c>
      <c r="E6" s="3">
        <v>45788</v>
      </c>
      <c r="F6" s="2">
        <v>0.49305555555555558</v>
      </c>
      <c r="G6">
        <v>2</v>
      </c>
      <c r="K6" s="9"/>
      <c r="L6">
        <v>8</v>
      </c>
      <c r="M6">
        <v>28</v>
      </c>
    </row>
    <row r="7" spans="1:13" x14ac:dyDescent="0.2">
      <c r="A7" t="s">
        <v>31</v>
      </c>
      <c r="B7" t="s">
        <v>32</v>
      </c>
      <c r="C7" t="s">
        <v>9</v>
      </c>
      <c r="D7" t="s">
        <v>10</v>
      </c>
      <c r="E7" s="3">
        <v>45788</v>
      </c>
      <c r="F7" s="2">
        <v>0.50763888888888886</v>
      </c>
      <c r="G7">
        <v>2</v>
      </c>
      <c r="H7">
        <v>5</v>
      </c>
      <c r="I7">
        <v>1.9</v>
      </c>
      <c r="K7" s="9"/>
    </row>
    <row r="8" spans="1:13" x14ac:dyDescent="0.2">
      <c r="A8" t="s">
        <v>15</v>
      </c>
      <c r="B8" t="s">
        <v>16</v>
      </c>
      <c r="C8" t="s">
        <v>17</v>
      </c>
      <c r="D8" t="s">
        <v>10</v>
      </c>
      <c r="E8" s="3">
        <v>45787</v>
      </c>
      <c r="F8" s="2">
        <v>0.51527777777777772</v>
      </c>
      <c r="G8">
        <v>2</v>
      </c>
      <c r="H8">
        <v>11</v>
      </c>
      <c r="I8">
        <v>4.4000000000000004</v>
      </c>
      <c r="K8" s="9"/>
    </row>
    <row r="9" spans="1:13" x14ac:dyDescent="0.2">
      <c r="A9" t="s">
        <v>20</v>
      </c>
      <c r="B9" t="s">
        <v>21</v>
      </c>
      <c r="C9" t="s">
        <v>9</v>
      </c>
      <c r="D9" t="s">
        <v>10</v>
      </c>
      <c r="E9" s="3">
        <v>45788</v>
      </c>
      <c r="F9" s="2">
        <v>0.53333333333333333</v>
      </c>
      <c r="G9">
        <v>2</v>
      </c>
      <c r="H9">
        <v>12</v>
      </c>
      <c r="I9">
        <v>5.2</v>
      </c>
      <c r="K9" s="9"/>
    </row>
    <row r="10" spans="1:13" x14ac:dyDescent="0.2">
      <c r="A10" t="s">
        <v>18</v>
      </c>
      <c r="B10" t="s">
        <v>19</v>
      </c>
      <c r="C10" t="s">
        <v>9</v>
      </c>
      <c r="D10" t="s">
        <v>10</v>
      </c>
      <c r="E10" s="3">
        <v>45788</v>
      </c>
      <c r="F10" s="2">
        <v>0.53472222222222221</v>
      </c>
      <c r="G10">
        <v>2</v>
      </c>
      <c r="H10">
        <v>3</v>
      </c>
      <c r="I10">
        <v>0.8</v>
      </c>
      <c r="K10" s="9"/>
    </row>
    <row r="11" spans="1:13" x14ac:dyDescent="0.2">
      <c r="A11" t="s">
        <v>6</v>
      </c>
      <c r="B11" t="s">
        <v>7</v>
      </c>
      <c r="C11" t="s">
        <v>9</v>
      </c>
      <c r="D11" t="s">
        <v>10</v>
      </c>
      <c r="E11" s="3">
        <v>45423</v>
      </c>
      <c r="F11" s="2">
        <v>4.1666666666666664E-2</v>
      </c>
      <c r="G11">
        <v>2</v>
      </c>
      <c r="H11">
        <v>3</v>
      </c>
      <c r="I11">
        <v>1.1000000000000001</v>
      </c>
      <c r="K11" s="9"/>
      <c r="L11" s="10">
        <v>6</v>
      </c>
      <c r="M11" s="10">
        <v>1.9</v>
      </c>
    </row>
    <row r="12" spans="1:13" x14ac:dyDescent="0.2">
      <c r="A12" t="s">
        <v>27</v>
      </c>
      <c r="B12" t="s">
        <v>28</v>
      </c>
      <c r="C12" t="s">
        <v>9</v>
      </c>
      <c r="D12" t="s">
        <v>10</v>
      </c>
      <c r="E12" s="3">
        <v>45788</v>
      </c>
      <c r="F12" s="2">
        <v>4.8611111111111112E-2</v>
      </c>
      <c r="G12">
        <v>2</v>
      </c>
      <c r="H12">
        <v>4</v>
      </c>
      <c r="I12">
        <v>1.2</v>
      </c>
      <c r="J12">
        <f>SUM(H7:H12)</f>
        <v>38</v>
      </c>
      <c r="K12" s="9">
        <f>SUM(I7:I12)</f>
        <v>14.6</v>
      </c>
    </row>
    <row r="13" spans="1:13" x14ac:dyDescent="0.2">
      <c r="E13" s="3"/>
      <c r="F13" s="2"/>
      <c r="K13" s="9"/>
    </row>
    <row r="14" spans="1:13" x14ac:dyDescent="0.2">
      <c r="A14" t="s">
        <v>44</v>
      </c>
      <c r="B14" t="s">
        <v>45</v>
      </c>
      <c r="C14" t="s">
        <v>46</v>
      </c>
      <c r="D14" t="s">
        <v>41</v>
      </c>
      <c r="E14" s="3">
        <v>45788</v>
      </c>
      <c r="F14" s="2">
        <v>0.4201388888888889</v>
      </c>
      <c r="G14">
        <v>1</v>
      </c>
      <c r="K14" s="9"/>
      <c r="L14">
        <v>4</v>
      </c>
      <c r="M14">
        <v>1.3</v>
      </c>
    </row>
    <row r="15" spans="1:13" x14ac:dyDescent="0.2">
      <c r="A15" t="s">
        <v>75</v>
      </c>
      <c r="B15" t="s">
        <v>76</v>
      </c>
      <c r="C15" t="s">
        <v>46</v>
      </c>
      <c r="D15" t="s">
        <v>41</v>
      </c>
      <c r="E15" s="3">
        <v>45788</v>
      </c>
      <c r="F15" s="2">
        <v>0.42638888888888887</v>
      </c>
      <c r="G15">
        <v>1</v>
      </c>
      <c r="H15">
        <v>4</v>
      </c>
      <c r="I15">
        <v>1</v>
      </c>
      <c r="K15" s="9"/>
    </row>
    <row r="16" spans="1:13" x14ac:dyDescent="0.2">
      <c r="A16" t="s">
        <v>77</v>
      </c>
      <c r="B16" t="s">
        <v>78</v>
      </c>
      <c r="C16" t="s">
        <v>46</v>
      </c>
      <c r="D16" t="s">
        <v>41</v>
      </c>
      <c r="E16" s="3">
        <v>45788</v>
      </c>
      <c r="F16" s="2">
        <v>0.43194444444444446</v>
      </c>
      <c r="G16">
        <v>1</v>
      </c>
      <c r="H16">
        <v>5</v>
      </c>
      <c r="I16">
        <v>1.8</v>
      </c>
      <c r="K16" s="9"/>
    </row>
    <row r="17" spans="1:13" x14ac:dyDescent="0.2">
      <c r="A17" t="s">
        <v>51</v>
      </c>
      <c r="B17" t="s">
        <v>52</v>
      </c>
      <c r="C17" t="s">
        <v>46</v>
      </c>
      <c r="D17" t="s">
        <v>41</v>
      </c>
      <c r="E17" s="3">
        <v>45788</v>
      </c>
      <c r="F17" s="2">
        <v>0.43680555555555556</v>
      </c>
      <c r="G17">
        <v>1</v>
      </c>
      <c r="H17">
        <v>4</v>
      </c>
      <c r="I17">
        <v>1.4</v>
      </c>
      <c r="K17" s="9"/>
    </row>
    <row r="18" spans="1:13" x14ac:dyDescent="0.2">
      <c r="A18" t="s">
        <v>38</v>
      </c>
      <c r="B18" t="s">
        <v>39</v>
      </c>
      <c r="C18" t="s">
        <v>40</v>
      </c>
      <c r="D18" t="s">
        <v>41</v>
      </c>
      <c r="E18" s="3">
        <v>45788</v>
      </c>
      <c r="F18" s="2">
        <v>0.44027777777777777</v>
      </c>
      <c r="G18">
        <v>1</v>
      </c>
      <c r="H18">
        <v>2</v>
      </c>
      <c r="I18">
        <v>0.9</v>
      </c>
      <c r="K18" s="9"/>
      <c r="L18" s="10">
        <v>7</v>
      </c>
      <c r="M18" s="10">
        <v>1.7</v>
      </c>
    </row>
    <row r="19" spans="1:13" x14ac:dyDescent="0.2">
      <c r="A19" t="s">
        <v>67</v>
      </c>
      <c r="B19" t="s">
        <v>68</v>
      </c>
      <c r="C19" t="s">
        <v>46</v>
      </c>
      <c r="D19" t="s">
        <v>41</v>
      </c>
      <c r="E19" s="3">
        <v>45788</v>
      </c>
      <c r="F19" s="2">
        <v>0.45</v>
      </c>
      <c r="G19">
        <v>1</v>
      </c>
      <c r="H19">
        <v>4</v>
      </c>
      <c r="I19">
        <v>1.2</v>
      </c>
      <c r="J19">
        <f>SUM(H15:H19)</f>
        <v>19</v>
      </c>
      <c r="K19" s="9">
        <f>SUM(I15:I19)</f>
        <v>6.3</v>
      </c>
    </row>
    <row r="20" spans="1:13" x14ac:dyDescent="0.2">
      <c r="E20" s="3"/>
      <c r="F20" s="2"/>
      <c r="K20" s="9"/>
    </row>
    <row r="21" spans="1:13" x14ac:dyDescent="0.2">
      <c r="A21" t="s">
        <v>42</v>
      </c>
      <c r="B21" t="s">
        <v>43</v>
      </c>
      <c r="C21" t="s">
        <v>9</v>
      </c>
      <c r="D21" t="s">
        <v>41</v>
      </c>
      <c r="E21" s="3">
        <v>45788</v>
      </c>
      <c r="F21" s="2">
        <v>0.47222222222222221</v>
      </c>
      <c r="G21">
        <v>2</v>
      </c>
      <c r="K21" s="9"/>
      <c r="L21">
        <v>10</v>
      </c>
      <c r="M21">
        <v>4.5999999999999996</v>
      </c>
    </row>
    <row r="22" spans="1:13" x14ac:dyDescent="0.2">
      <c r="A22" t="s">
        <v>47</v>
      </c>
      <c r="B22" t="s">
        <v>48</v>
      </c>
      <c r="C22" t="s">
        <v>9</v>
      </c>
      <c r="D22" t="s">
        <v>41</v>
      </c>
      <c r="E22" s="3">
        <v>45788</v>
      </c>
      <c r="F22" s="2">
        <v>0.4777777777777778</v>
      </c>
      <c r="G22">
        <v>2</v>
      </c>
      <c r="H22">
        <v>5</v>
      </c>
      <c r="I22">
        <v>1.6</v>
      </c>
      <c r="K22" s="9"/>
    </row>
    <row r="23" spans="1:13" x14ac:dyDescent="0.2">
      <c r="A23" t="s">
        <v>71</v>
      </c>
      <c r="B23" t="s">
        <v>72</v>
      </c>
      <c r="C23" t="s">
        <v>9</v>
      </c>
      <c r="D23" t="s">
        <v>41</v>
      </c>
      <c r="E23" s="3">
        <v>45788</v>
      </c>
      <c r="F23" s="2">
        <v>0.48402777777777778</v>
      </c>
      <c r="G23">
        <v>2</v>
      </c>
      <c r="H23">
        <v>7</v>
      </c>
      <c r="I23">
        <v>2.8</v>
      </c>
      <c r="K23" s="9"/>
    </row>
    <row r="24" spans="1:13" x14ac:dyDescent="0.2">
      <c r="A24" t="s">
        <v>79</v>
      </c>
      <c r="B24" t="s">
        <v>80</v>
      </c>
      <c r="C24" t="s">
        <v>9</v>
      </c>
      <c r="D24" t="s">
        <v>41</v>
      </c>
      <c r="E24" s="3">
        <v>45788</v>
      </c>
      <c r="F24" s="2">
        <v>0.48819444444444443</v>
      </c>
      <c r="G24">
        <v>2</v>
      </c>
      <c r="H24">
        <v>3</v>
      </c>
      <c r="I24">
        <v>1.2</v>
      </c>
      <c r="K24" s="9"/>
    </row>
    <row r="25" spans="1:13" x14ac:dyDescent="0.2">
      <c r="A25" t="s">
        <v>82</v>
      </c>
      <c r="B25" t="s">
        <v>83</v>
      </c>
      <c r="C25" t="s">
        <v>9</v>
      </c>
      <c r="D25" t="s">
        <v>41</v>
      </c>
      <c r="E25" s="3">
        <v>45788</v>
      </c>
      <c r="F25" s="2">
        <v>0.49236111111111114</v>
      </c>
      <c r="G25">
        <v>2</v>
      </c>
      <c r="H25">
        <v>3</v>
      </c>
      <c r="I25">
        <v>0.8</v>
      </c>
      <c r="K25" s="9"/>
    </row>
    <row r="26" spans="1:13" x14ac:dyDescent="0.2">
      <c r="A26" t="s">
        <v>49</v>
      </c>
      <c r="B26" t="s">
        <v>50</v>
      </c>
      <c r="C26" t="s">
        <v>9</v>
      </c>
      <c r="D26" t="s">
        <v>41</v>
      </c>
      <c r="E26" s="3">
        <v>45788</v>
      </c>
      <c r="F26" s="2">
        <v>0.49583333333333335</v>
      </c>
      <c r="G26">
        <v>2</v>
      </c>
      <c r="H26">
        <v>1</v>
      </c>
      <c r="I26">
        <v>0.3</v>
      </c>
      <c r="K26" s="9"/>
    </row>
    <row r="27" spans="1:13" x14ac:dyDescent="0.2">
      <c r="A27" t="s">
        <v>62</v>
      </c>
      <c r="B27" t="s">
        <v>63</v>
      </c>
      <c r="C27" t="s">
        <v>9</v>
      </c>
      <c r="D27" t="s">
        <v>41</v>
      </c>
      <c r="E27" s="3">
        <v>45788</v>
      </c>
      <c r="F27" s="2">
        <v>0.49791666666666667</v>
      </c>
      <c r="G27">
        <v>2</v>
      </c>
      <c r="H27">
        <v>2</v>
      </c>
      <c r="I27">
        <v>0.6</v>
      </c>
      <c r="K27" s="9"/>
      <c r="L27" s="10">
        <v>9</v>
      </c>
      <c r="M27" s="10">
        <v>3</v>
      </c>
    </row>
    <row r="28" spans="1:13" x14ac:dyDescent="0.2">
      <c r="A28" t="s">
        <v>65</v>
      </c>
      <c r="B28" t="s">
        <v>66</v>
      </c>
      <c r="C28" t="s">
        <v>9</v>
      </c>
      <c r="D28" t="s">
        <v>41</v>
      </c>
      <c r="E28" s="3">
        <v>45788</v>
      </c>
      <c r="F28" s="2">
        <v>0.50069444444444444</v>
      </c>
      <c r="G28">
        <v>2</v>
      </c>
      <c r="H28">
        <v>1</v>
      </c>
      <c r="I28">
        <v>0.1</v>
      </c>
      <c r="J28">
        <f>SUM(H22:H28)</f>
        <v>22</v>
      </c>
      <c r="K28" s="9">
        <f>SUM(I22:I28)</f>
        <v>7.3999999999999995</v>
      </c>
    </row>
    <row r="29" spans="1:13" x14ac:dyDescent="0.2">
      <c r="E29" s="3"/>
      <c r="F29" s="2"/>
      <c r="K29" s="9"/>
    </row>
    <row r="30" spans="1:13" x14ac:dyDescent="0.2">
      <c r="A30" t="s">
        <v>73</v>
      </c>
      <c r="B30" t="s">
        <v>74</v>
      </c>
      <c r="C30" t="s">
        <v>9</v>
      </c>
      <c r="D30" t="s">
        <v>41</v>
      </c>
      <c r="E30" s="3">
        <v>45788</v>
      </c>
      <c r="F30" s="2">
        <v>0.52500000000000002</v>
      </c>
      <c r="G30">
        <v>3</v>
      </c>
      <c r="K30" s="9"/>
      <c r="L30">
        <v>3</v>
      </c>
      <c r="M30">
        <v>1</v>
      </c>
    </row>
    <row r="31" spans="1:13" x14ac:dyDescent="0.2">
      <c r="A31" t="s">
        <v>57</v>
      </c>
      <c r="B31" t="s">
        <v>58</v>
      </c>
      <c r="C31" t="s">
        <v>9</v>
      </c>
      <c r="D31" t="s">
        <v>41</v>
      </c>
      <c r="E31" s="3">
        <v>45788</v>
      </c>
      <c r="F31" s="2">
        <v>0.52777777777777779</v>
      </c>
      <c r="G31">
        <v>3</v>
      </c>
      <c r="H31">
        <v>2</v>
      </c>
      <c r="I31">
        <v>0.5</v>
      </c>
      <c r="K31" s="9"/>
    </row>
    <row r="32" spans="1:13" x14ac:dyDescent="0.2">
      <c r="A32" t="s">
        <v>34</v>
      </c>
      <c r="B32" t="s">
        <v>35</v>
      </c>
      <c r="C32" t="s">
        <v>9</v>
      </c>
      <c r="D32" t="s">
        <v>41</v>
      </c>
      <c r="E32" s="3">
        <v>45788</v>
      </c>
      <c r="F32" s="2">
        <v>0.53055555555555556</v>
      </c>
      <c r="G32">
        <v>3</v>
      </c>
      <c r="H32">
        <v>1</v>
      </c>
      <c r="I32">
        <v>0.3</v>
      </c>
      <c r="K32" s="9"/>
    </row>
    <row r="33" spans="1:13" x14ac:dyDescent="0.2">
      <c r="A33" t="s">
        <v>53</v>
      </c>
      <c r="B33" t="s">
        <v>54</v>
      </c>
      <c r="C33" t="s">
        <v>9</v>
      </c>
      <c r="D33" t="s">
        <v>41</v>
      </c>
      <c r="E33" s="3">
        <v>45788</v>
      </c>
      <c r="F33" s="2">
        <v>0.53333333333333333</v>
      </c>
      <c r="G33">
        <v>3</v>
      </c>
      <c r="H33">
        <v>1</v>
      </c>
      <c r="I33">
        <v>0.7</v>
      </c>
      <c r="K33" s="9"/>
    </row>
    <row r="34" spans="1:13" x14ac:dyDescent="0.2">
      <c r="A34" t="s">
        <v>69</v>
      </c>
      <c r="B34" t="s">
        <v>70</v>
      </c>
      <c r="C34" t="s">
        <v>9</v>
      </c>
      <c r="D34" t="s">
        <v>41</v>
      </c>
      <c r="E34" s="3">
        <v>45788</v>
      </c>
      <c r="F34" s="2">
        <v>0.53541666666666665</v>
      </c>
      <c r="G34">
        <v>3</v>
      </c>
      <c r="H34">
        <v>1</v>
      </c>
      <c r="I34">
        <v>0.2</v>
      </c>
      <c r="K34" s="9"/>
    </row>
    <row r="35" spans="1:13" x14ac:dyDescent="0.2">
      <c r="A35" t="s">
        <v>60</v>
      </c>
      <c r="B35" t="s">
        <v>61</v>
      </c>
      <c r="C35" t="s">
        <v>9</v>
      </c>
      <c r="D35" t="s">
        <v>41</v>
      </c>
      <c r="E35" s="3">
        <v>45787</v>
      </c>
      <c r="F35" s="2">
        <v>4.2361111111111113E-2</v>
      </c>
      <c r="G35">
        <v>3</v>
      </c>
      <c r="H35">
        <v>1</v>
      </c>
      <c r="I35">
        <v>0.4</v>
      </c>
      <c r="K35" s="9"/>
    </row>
    <row r="36" spans="1:13" x14ac:dyDescent="0.2">
      <c r="A36" t="s">
        <v>55</v>
      </c>
      <c r="B36" t="s">
        <v>56</v>
      </c>
      <c r="C36" t="s">
        <v>9</v>
      </c>
      <c r="D36" t="s">
        <v>41</v>
      </c>
      <c r="E36" s="3">
        <v>45788</v>
      </c>
      <c r="F36" s="2">
        <v>4.9305555555555554E-2</v>
      </c>
      <c r="G36">
        <v>3</v>
      </c>
      <c r="H36">
        <v>3</v>
      </c>
      <c r="I36">
        <v>1</v>
      </c>
      <c r="K36" s="9"/>
      <c r="L36" s="10">
        <v>9</v>
      </c>
      <c r="M36" s="10">
        <v>3.3</v>
      </c>
    </row>
    <row r="37" spans="1:13" x14ac:dyDescent="0.2">
      <c r="A37" t="s">
        <v>36</v>
      </c>
      <c r="B37" t="s">
        <v>37</v>
      </c>
      <c r="C37" t="s">
        <v>9</v>
      </c>
      <c r="D37" t="s">
        <v>41</v>
      </c>
      <c r="E37" s="3">
        <v>45788</v>
      </c>
      <c r="F37" s="2">
        <v>5.2083333333333336E-2</v>
      </c>
      <c r="G37">
        <v>3</v>
      </c>
      <c r="H37">
        <v>1</v>
      </c>
      <c r="I37">
        <v>0.5</v>
      </c>
      <c r="J37">
        <f>SUM(H31:H37)</f>
        <v>10</v>
      </c>
      <c r="K37" s="9">
        <f>SUM(I31:I37)</f>
        <v>3.6</v>
      </c>
    </row>
    <row r="38" spans="1:13" x14ac:dyDescent="0.2">
      <c r="K38" s="9"/>
    </row>
    <row r="39" spans="1:13" x14ac:dyDescent="0.2">
      <c r="A39" t="s">
        <v>92</v>
      </c>
      <c r="B39" t="s">
        <v>93</v>
      </c>
      <c r="C39" t="s">
        <v>94</v>
      </c>
      <c r="D39" t="s">
        <v>86</v>
      </c>
      <c r="E39" s="3">
        <v>45788</v>
      </c>
      <c r="F39" s="2">
        <v>0.38680555555555557</v>
      </c>
      <c r="G39">
        <v>1</v>
      </c>
      <c r="K39" s="9"/>
      <c r="L39">
        <v>6</v>
      </c>
      <c r="M39">
        <v>2.7</v>
      </c>
    </row>
    <row r="40" spans="1:13" x14ac:dyDescent="0.2">
      <c r="A40" t="s">
        <v>102</v>
      </c>
      <c r="B40" t="s">
        <v>103</v>
      </c>
      <c r="C40" t="s">
        <v>94</v>
      </c>
      <c r="D40" t="s">
        <v>86</v>
      </c>
      <c r="E40" s="3">
        <v>45788</v>
      </c>
      <c r="F40" s="2">
        <v>0.39930555555555558</v>
      </c>
      <c r="G40">
        <v>1</v>
      </c>
      <c r="H40">
        <v>10</v>
      </c>
      <c r="I40">
        <v>2.6</v>
      </c>
      <c r="K40" s="9"/>
    </row>
    <row r="41" spans="1:13" x14ac:dyDescent="0.2">
      <c r="A41" t="s">
        <v>125</v>
      </c>
      <c r="B41" t="s">
        <v>124</v>
      </c>
      <c r="C41" t="s">
        <v>94</v>
      </c>
      <c r="D41" t="s">
        <v>86</v>
      </c>
      <c r="E41" s="3">
        <v>45788</v>
      </c>
      <c r="F41" s="2">
        <v>0.40694444444444444</v>
      </c>
      <c r="G41">
        <v>1</v>
      </c>
      <c r="H41">
        <v>5</v>
      </c>
      <c r="I41">
        <v>1.3</v>
      </c>
      <c r="K41" s="9"/>
    </row>
    <row r="42" spans="1:13" x14ac:dyDescent="0.2">
      <c r="A42" t="s">
        <v>119</v>
      </c>
      <c r="B42" t="s">
        <v>120</v>
      </c>
      <c r="C42" t="s">
        <v>121</v>
      </c>
      <c r="D42" t="s">
        <v>86</v>
      </c>
      <c r="E42" s="3">
        <v>45788</v>
      </c>
      <c r="F42" s="2">
        <v>0.41458333333333336</v>
      </c>
      <c r="G42">
        <v>1</v>
      </c>
      <c r="H42">
        <v>7</v>
      </c>
      <c r="I42">
        <v>1.5</v>
      </c>
      <c r="K42" s="9"/>
    </row>
    <row r="43" spans="1:13" x14ac:dyDescent="0.2">
      <c r="A43" t="s">
        <v>116</v>
      </c>
      <c r="B43" t="s">
        <v>117</v>
      </c>
      <c r="C43" t="s">
        <v>118</v>
      </c>
      <c r="D43" t="s">
        <v>86</v>
      </c>
      <c r="E43" s="3">
        <v>45788</v>
      </c>
      <c r="F43" s="2">
        <v>0.42152777777777778</v>
      </c>
      <c r="G43">
        <v>1</v>
      </c>
      <c r="H43">
        <v>7</v>
      </c>
      <c r="I43">
        <v>1.7</v>
      </c>
      <c r="K43" s="9"/>
    </row>
    <row r="44" spans="1:13" x14ac:dyDescent="0.2">
      <c r="A44" t="s">
        <v>109</v>
      </c>
      <c r="B44" t="s">
        <v>110</v>
      </c>
      <c r="C44" t="s">
        <v>111</v>
      </c>
      <c r="D44" t="s">
        <v>86</v>
      </c>
      <c r="E44" s="3">
        <v>45787</v>
      </c>
      <c r="F44" s="2">
        <v>0.43402777777777779</v>
      </c>
      <c r="G44">
        <v>1</v>
      </c>
      <c r="H44">
        <v>15</v>
      </c>
      <c r="I44">
        <v>4.3</v>
      </c>
      <c r="K44" s="9"/>
    </row>
    <row r="45" spans="1:13" x14ac:dyDescent="0.2">
      <c r="A45" t="s">
        <v>89</v>
      </c>
      <c r="B45" t="s">
        <v>90</v>
      </c>
      <c r="C45" t="s">
        <v>91</v>
      </c>
      <c r="D45" t="s">
        <v>86</v>
      </c>
      <c r="E45" s="3">
        <v>45787</v>
      </c>
      <c r="F45" s="2">
        <v>0.44027777777777777</v>
      </c>
      <c r="G45">
        <v>1</v>
      </c>
      <c r="H45">
        <v>7</v>
      </c>
      <c r="I45">
        <v>1.9</v>
      </c>
      <c r="K45" s="9"/>
    </row>
    <row r="46" spans="1:13" x14ac:dyDescent="0.2">
      <c r="A46" t="s">
        <v>122</v>
      </c>
      <c r="B46" t="s">
        <v>123</v>
      </c>
      <c r="C46" t="s">
        <v>91</v>
      </c>
      <c r="D46" t="s">
        <v>86</v>
      </c>
      <c r="E46" s="3">
        <v>45788</v>
      </c>
      <c r="F46" s="2">
        <v>0.44583333333333336</v>
      </c>
      <c r="G46">
        <v>1</v>
      </c>
      <c r="H46">
        <v>5</v>
      </c>
      <c r="I46">
        <v>1.5</v>
      </c>
      <c r="K46" s="9"/>
    </row>
    <row r="47" spans="1:13" x14ac:dyDescent="0.2">
      <c r="A47" t="s">
        <v>129</v>
      </c>
      <c r="B47" t="s">
        <v>130</v>
      </c>
      <c r="C47" t="s">
        <v>91</v>
      </c>
      <c r="D47" t="s">
        <v>86</v>
      </c>
      <c r="E47" s="3">
        <v>45788</v>
      </c>
      <c r="F47" s="2">
        <v>0.4548611111111111</v>
      </c>
      <c r="G47">
        <v>1</v>
      </c>
      <c r="H47">
        <v>7</v>
      </c>
      <c r="I47">
        <v>1.7</v>
      </c>
      <c r="K47" s="9"/>
    </row>
    <row r="48" spans="1:13" x14ac:dyDescent="0.2">
      <c r="A48" t="s">
        <v>95</v>
      </c>
      <c r="B48" t="s">
        <v>104</v>
      </c>
      <c r="C48" t="s">
        <v>94</v>
      </c>
      <c r="D48" t="s">
        <v>86</v>
      </c>
      <c r="E48" s="3">
        <v>45788</v>
      </c>
      <c r="F48" s="2">
        <v>0.46180555555555558</v>
      </c>
      <c r="G48">
        <v>1</v>
      </c>
      <c r="H48">
        <v>11</v>
      </c>
      <c r="I48">
        <v>3</v>
      </c>
      <c r="K48" s="9"/>
    </row>
    <row r="49" spans="1:13" x14ac:dyDescent="0.2">
      <c r="A49" t="s">
        <v>95</v>
      </c>
      <c r="B49" t="s">
        <v>96</v>
      </c>
      <c r="C49" t="s">
        <v>94</v>
      </c>
      <c r="D49" t="s">
        <v>86</v>
      </c>
      <c r="E49" s="3">
        <v>45788</v>
      </c>
      <c r="F49" s="2">
        <v>0.46666666666666667</v>
      </c>
      <c r="G49">
        <v>1</v>
      </c>
      <c r="H49">
        <v>4</v>
      </c>
      <c r="I49">
        <v>0.7</v>
      </c>
      <c r="K49" s="9"/>
    </row>
    <row r="50" spans="1:13" x14ac:dyDescent="0.2">
      <c r="A50" t="s">
        <v>105</v>
      </c>
      <c r="B50" t="s">
        <v>106</v>
      </c>
      <c r="C50" t="s">
        <v>94</v>
      </c>
      <c r="D50" t="s">
        <v>86</v>
      </c>
      <c r="E50" s="3">
        <v>45788</v>
      </c>
      <c r="F50" s="2">
        <v>0.47499999999999998</v>
      </c>
      <c r="G50">
        <v>1</v>
      </c>
      <c r="H50">
        <v>6</v>
      </c>
      <c r="I50">
        <v>2</v>
      </c>
      <c r="K50" s="9"/>
      <c r="L50" s="10">
        <v>7</v>
      </c>
      <c r="M50" s="10">
        <v>2.6</v>
      </c>
    </row>
    <row r="51" spans="1:13" x14ac:dyDescent="0.2">
      <c r="A51" t="s">
        <v>114</v>
      </c>
      <c r="B51" t="s">
        <v>115</v>
      </c>
      <c r="C51" t="s">
        <v>94</v>
      </c>
      <c r="D51" t="s">
        <v>86</v>
      </c>
      <c r="E51" s="3">
        <v>45787</v>
      </c>
      <c r="F51" s="2">
        <v>0.4826388888888889</v>
      </c>
      <c r="G51">
        <v>1</v>
      </c>
      <c r="H51">
        <v>5</v>
      </c>
      <c r="I51">
        <v>1.8</v>
      </c>
      <c r="J51">
        <f>SUM(H40:H51)</f>
        <v>89</v>
      </c>
      <c r="K51" s="9">
        <f>SUM(I40:I51)</f>
        <v>24</v>
      </c>
    </row>
    <row r="52" spans="1:13" x14ac:dyDescent="0.2">
      <c r="E52" s="3"/>
      <c r="F52" s="2"/>
      <c r="K52" s="9"/>
    </row>
    <row r="53" spans="1:13" x14ac:dyDescent="0.2">
      <c r="A53" t="s">
        <v>107</v>
      </c>
      <c r="B53" t="s">
        <v>108</v>
      </c>
      <c r="C53" t="s">
        <v>9</v>
      </c>
      <c r="D53" t="s">
        <v>86</v>
      </c>
      <c r="E53" s="3">
        <v>45788</v>
      </c>
      <c r="F53" s="2">
        <v>0.51458333333333328</v>
      </c>
      <c r="G53">
        <v>2</v>
      </c>
      <c r="K53" s="9"/>
      <c r="L53">
        <v>7</v>
      </c>
      <c r="M53">
        <v>3</v>
      </c>
    </row>
    <row r="54" spans="1:13" x14ac:dyDescent="0.2">
      <c r="A54" t="s">
        <v>87</v>
      </c>
      <c r="B54" t="s">
        <v>88</v>
      </c>
      <c r="C54" t="s">
        <v>9</v>
      </c>
      <c r="D54" t="s">
        <v>86</v>
      </c>
      <c r="E54" s="3">
        <v>45788</v>
      </c>
      <c r="F54" s="2">
        <v>0.52152777777777781</v>
      </c>
      <c r="G54">
        <v>2</v>
      </c>
      <c r="H54">
        <v>5</v>
      </c>
      <c r="I54">
        <v>1.1000000000000001</v>
      </c>
      <c r="K54" s="9"/>
    </row>
    <row r="55" spans="1:13" x14ac:dyDescent="0.2">
      <c r="A55" t="s">
        <v>112</v>
      </c>
      <c r="B55" t="s">
        <v>113</v>
      </c>
      <c r="C55" t="s">
        <v>9</v>
      </c>
      <c r="D55" t="s">
        <v>86</v>
      </c>
      <c r="E55" s="3">
        <v>45788</v>
      </c>
      <c r="F55" s="2">
        <v>0.52847222222222223</v>
      </c>
      <c r="G55">
        <v>2</v>
      </c>
      <c r="H55">
        <v>7</v>
      </c>
      <c r="I55">
        <v>2.2999999999999998</v>
      </c>
      <c r="K55" s="9"/>
    </row>
    <row r="56" spans="1:13" x14ac:dyDescent="0.2">
      <c r="A56" t="s">
        <v>99</v>
      </c>
      <c r="B56" t="s">
        <v>100</v>
      </c>
      <c r="C56" t="s">
        <v>101</v>
      </c>
      <c r="D56" t="s">
        <v>86</v>
      </c>
      <c r="E56" s="3">
        <v>45788</v>
      </c>
      <c r="F56" s="2">
        <v>4.5138888888888888E-2</v>
      </c>
      <c r="G56">
        <v>2</v>
      </c>
      <c r="H56">
        <v>12</v>
      </c>
      <c r="I56">
        <v>5.4</v>
      </c>
      <c r="K56" s="9"/>
    </row>
    <row r="57" spans="1:13" x14ac:dyDescent="0.2">
      <c r="A57" t="s">
        <v>126</v>
      </c>
      <c r="B57" t="s">
        <v>127</v>
      </c>
      <c r="C57" t="s">
        <v>128</v>
      </c>
      <c r="D57" t="s">
        <v>86</v>
      </c>
      <c r="E57" s="3">
        <v>45788</v>
      </c>
      <c r="F57" s="2">
        <v>5.4166666666666669E-2</v>
      </c>
      <c r="G57">
        <v>2</v>
      </c>
      <c r="H57">
        <v>7</v>
      </c>
      <c r="I57">
        <v>3.1</v>
      </c>
      <c r="K57" s="9"/>
    </row>
    <row r="58" spans="1:13" x14ac:dyDescent="0.2">
      <c r="A58" t="s">
        <v>97</v>
      </c>
      <c r="B58" t="s">
        <v>98</v>
      </c>
      <c r="C58" t="s">
        <v>9</v>
      </c>
      <c r="D58" t="s">
        <v>86</v>
      </c>
      <c r="E58" s="3">
        <v>45788</v>
      </c>
      <c r="F58" s="2">
        <v>6.3888888888888884E-2</v>
      </c>
      <c r="G58">
        <v>2</v>
      </c>
      <c r="H58">
        <v>10</v>
      </c>
      <c r="I58">
        <v>4.9000000000000004</v>
      </c>
      <c r="K58" s="9"/>
      <c r="L58" s="10">
        <v>10</v>
      </c>
      <c r="M58" s="10">
        <v>3.1</v>
      </c>
    </row>
    <row r="59" spans="1:13" x14ac:dyDescent="0.2">
      <c r="A59" t="s">
        <v>84</v>
      </c>
      <c r="B59" t="s">
        <v>85</v>
      </c>
      <c r="C59" t="s">
        <v>9</v>
      </c>
      <c r="D59" t="s">
        <v>86</v>
      </c>
      <c r="E59" s="3">
        <v>45788</v>
      </c>
      <c r="F59" s="2">
        <v>7.2222222222222215E-2</v>
      </c>
      <c r="G59">
        <v>2</v>
      </c>
      <c r="H59">
        <v>6</v>
      </c>
      <c r="I59">
        <v>1.3</v>
      </c>
      <c r="J59">
        <f>SUM(H54:H59)</f>
        <v>47</v>
      </c>
      <c r="K59" s="9">
        <f>SUM(I54:I59)</f>
        <v>18.100000000000001</v>
      </c>
    </row>
    <row r="60" spans="1:13" x14ac:dyDescent="0.2">
      <c r="E60" s="3"/>
      <c r="K60" s="9"/>
    </row>
    <row r="61" spans="1:13" x14ac:dyDescent="0.2">
      <c r="A61" t="s">
        <v>220</v>
      </c>
      <c r="B61" t="s">
        <v>221</v>
      </c>
      <c r="C61" t="s">
        <v>46</v>
      </c>
      <c r="D61" t="s">
        <v>197</v>
      </c>
      <c r="E61" s="3">
        <v>45788</v>
      </c>
      <c r="F61" s="2">
        <v>0.41944444444444445</v>
      </c>
      <c r="G61">
        <v>1</v>
      </c>
      <c r="K61" s="9"/>
      <c r="L61">
        <v>2</v>
      </c>
      <c r="M61">
        <v>0.5</v>
      </c>
    </row>
    <row r="62" spans="1:13" x14ac:dyDescent="0.2">
      <c r="A62" t="s">
        <v>195</v>
      </c>
      <c r="B62" t="s">
        <v>196</v>
      </c>
      <c r="C62" t="s">
        <v>46</v>
      </c>
      <c r="D62" t="s">
        <v>197</v>
      </c>
      <c r="E62" s="3">
        <v>45788</v>
      </c>
      <c r="F62" s="2">
        <v>0.42708333333333331</v>
      </c>
      <c r="G62">
        <v>1</v>
      </c>
      <c r="H62">
        <v>4</v>
      </c>
      <c r="I62">
        <v>1.6</v>
      </c>
      <c r="K62" s="9"/>
    </row>
    <row r="63" spans="1:13" x14ac:dyDescent="0.2">
      <c r="A63" t="s">
        <v>204</v>
      </c>
      <c r="B63" t="s">
        <v>205</v>
      </c>
      <c r="C63" t="s">
        <v>46</v>
      </c>
      <c r="D63" t="s">
        <v>197</v>
      </c>
      <c r="E63" s="3">
        <v>45788</v>
      </c>
      <c r="F63" s="2">
        <v>0.43263888888888891</v>
      </c>
      <c r="G63">
        <v>1</v>
      </c>
      <c r="H63">
        <v>3</v>
      </c>
      <c r="I63">
        <v>1.4</v>
      </c>
      <c r="K63" s="9"/>
    </row>
    <row r="64" spans="1:13" x14ac:dyDescent="0.2">
      <c r="A64" t="s">
        <v>200</v>
      </c>
      <c r="B64" t="s">
        <v>201</v>
      </c>
      <c r="C64" t="s">
        <v>46</v>
      </c>
      <c r="D64" t="s">
        <v>197</v>
      </c>
      <c r="E64" s="3">
        <v>45788</v>
      </c>
      <c r="F64" s="2">
        <v>0.43819444444444444</v>
      </c>
      <c r="G64">
        <v>1</v>
      </c>
      <c r="H64">
        <v>1</v>
      </c>
      <c r="I64">
        <v>0.1</v>
      </c>
      <c r="K64" s="9"/>
    </row>
    <row r="65" spans="1:13" x14ac:dyDescent="0.2">
      <c r="A65" t="s">
        <v>206</v>
      </c>
      <c r="B65" t="s">
        <v>207</v>
      </c>
      <c r="C65" t="s">
        <v>46</v>
      </c>
      <c r="D65" t="s">
        <v>197</v>
      </c>
      <c r="E65" s="3">
        <v>45788</v>
      </c>
      <c r="F65" s="2">
        <v>0.44236111111111109</v>
      </c>
      <c r="G65">
        <v>1</v>
      </c>
      <c r="H65">
        <v>4</v>
      </c>
      <c r="I65">
        <v>1</v>
      </c>
      <c r="K65" s="9"/>
    </row>
    <row r="66" spans="1:13" x14ac:dyDescent="0.2">
      <c r="A66" t="s">
        <v>202</v>
      </c>
      <c r="B66" t="s">
        <v>203</v>
      </c>
      <c r="C66" t="s">
        <v>46</v>
      </c>
      <c r="D66" t="s">
        <v>197</v>
      </c>
      <c r="E66" s="3">
        <v>45788</v>
      </c>
      <c r="F66" s="2">
        <v>0.44722222222222224</v>
      </c>
      <c r="G66">
        <v>1</v>
      </c>
      <c r="H66">
        <v>2</v>
      </c>
      <c r="I66">
        <v>0.3</v>
      </c>
      <c r="K66" s="9"/>
    </row>
    <row r="67" spans="1:13" x14ac:dyDescent="0.2">
      <c r="A67" t="s">
        <v>210</v>
      </c>
      <c r="B67" t="s">
        <v>211</v>
      </c>
      <c r="C67" t="s">
        <v>46</v>
      </c>
      <c r="D67" t="s">
        <v>197</v>
      </c>
      <c r="E67" s="3">
        <v>45788</v>
      </c>
      <c r="F67" s="2">
        <v>0.4597222222222222</v>
      </c>
      <c r="G67">
        <v>1</v>
      </c>
      <c r="H67">
        <v>7</v>
      </c>
      <c r="I67">
        <v>2</v>
      </c>
      <c r="K67" s="9"/>
      <c r="L67" s="10">
        <v>11</v>
      </c>
      <c r="M67" s="10">
        <v>3.2</v>
      </c>
    </row>
    <row r="68" spans="1:13" x14ac:dyDescent="0.2">
      <c r="A68" t="s">
        <v>198</v>
      </c>
      <c r="B68" t="s">
        <v>199</v>
      </c>
      <c r="C68" t="s">
        <v>46</v>
      </c>
      <c r="D68" t="s">
        <v>197</v>
      </c>
      <c r="E68" s="3">
        <v>45788</v>
      </c>
      <c r="F68" s="2">
        <v>0.46875</v>
      </c>
      <c r="G68">
        <v>1</v>
      </c>
      <c r="H68">
        <v>9</v>
      </c>
      <c r="I68">
        <v>2.9</v>
      </c>
      <c r="J68">
        <f>SUM(H62:H68)</f>
        <v>30</v>
      </c>
      <c r="K68" s="9">
        <f>SUM(I62:I68)</f>
        <v>9.2999999999999989</v>
      </c>
    </row>
    <row r="69" spans="1:13" x14ac:dyDescent="0.2">
      <c r="E69" s="3"/>
      <c r="F69" s="2"/>
      <c r="K69" s="9"/>
    </row>
    <row r="70" spans="1:13" x14ac:dyDescent="0.2">
      <c r="A70" t="s">
        <v>208</v>
      </c>
      <c r="B70" t="s">
        <v>209</v>
      </c>
      <c r="C70" t="s">
        <v>9</v>
      </c>
      <c r="D70" t="s">
        <v>197</v>
      </c>
      <c r="E70" s="3">
        <v>45788</v>
      </c>
      <c r="F70" s="2">
        <v>0.50763888888888886</v>
      </c>
      <c r="G70">
        <v>2</v>
      </c>
      <c r="K70" s="9"/>
      <c r="L70">
        <v>7</v>
      </c>
      <c r="M70">
        <v>2.9</v>
      </c>
    </row>
    <row r="71" spans="1:13" x14ac:dyDescent="0.2">
      <c r="A71" t="s">
        <v>222</v>
      </c>
      <c r="B71" t="s">
        <v>223</v>
      </c>
      <c r="C71" t="s">
        <v>9</v>
      </c>
      <c r="D71" t="s">
        <v>197</v>
      </c>
      <c r="E71" s="3">
        <v>45788</v>
      </c>
      <c r="F71" s="2">
        <v>0.51180555555555551</v>
      </c>
      <c r="G71">
        <v>2</v>
      </c>
      <c r="H71">
        <v>4</v>
      </c>
      <c r="I71">
        <v>1.5</v>
      </c>
      <c r="K71" s="9"/>
    </row>
    <row r="72" spans="1:13" x14ac:dyDescent="0.2">
      <c r="A72" t="s">
        <v>216</v>
      </c>
      <c r="B72" t="s">
        <v>215</v>
      </c>
      <c r="C72" t="s">
        <v>9</v>
      </c>
      <c r="D72" t="s">
        <v>197</v>
      </c>
      <c r="E72" s="3">
        <v>45788</v>
      </c>
      <c r="F72" s="2">
        <v>0.51666666666666672</v>
      </c>
      <c r="G72">
        <v>2</v>
      </c>
      <c r="H72">
        <v>4</v>
      </c>
      <c r="I72">
        <v>1.5</v>
      </c>
      <c r="K72" s="9"/>
    </row>
    <row r="73" spans="1:13" x14ac:dyDescent="0.2">
      <c r="A73" t="s">
        <v>214</v>
      </c>
      <c r="B73" t="s">
        <v>215</v>
      </c>
      <c r="C73" t="s">
        <v>9</v>
      </c>
      <c r="D73" t="s">
        <v>197</v>
      </c>
      <c r="E73" s="3">
        <v>45788</v>
      </c>
      <c r="F73" s="2">
        <v>0.5229166666666667</v>
      </c>
      <c r="G73">
        <v>2</v>
      </c>
      <c r="K73" s="9"/>
    </row>
    <row r="74" spans="1:13" x14ac:dyDescent="0.2">
      <c r="A74" t="s">
        <v>212</v>
      </c>
      <c r="B74" t="s">
        <v>213</v>
      </c>
      <c r="C74" t="s">
        <v>9</v>
      </c>
      <c r="D74" t="s">
        <v>197</v>
      </c>
      <c r="E74" s="3">
        <v>45788</v>
      </c>
      <c r="F74" s="2">
        <v>0.52916666666666667</v>
      </c>
      <c r="G74">
        <v>2</v>
      </c>
      <c r="H74">
        <v>3</v>
      </c>
      <c r="I74">
        <v>0.8</v>
      </c>
      <c r="K74" s="9"/>
    </row>
    <row r="75" spans="1:13" x14ac:dyDescent="0.2">
      <c r="A75" t="s">
        <v>219</v>
      </c>
      <c r="B75" t="s">
        <v>347</v>
      </c>
      <c r="C75" t="s">
        <v>9</v>
      </c>
      <c r="D75" t="s">
        <v>197</v>
      </c>
      <c r="E75" s="3">
        <v>45788</v>
      </c>
      <c r="F75" s="2">
        <v>0.53263888888888888</v>
      </c>
      <c r="G75">
        <v>2</v>
      </c>
      <c r="H75">
        <v>4</v>
      </c>
      <c r="I75">
        <v>1.8</v>
      </c>
      <c r="K75" s="9"/>
    </row>
    <row r="76" spans="1:13" x14ac:dyDescent="0.2">
      <c r="A76" t="s">
        <v>224</v>
      </c>
      <c r="B76" t="s">
        <v>225</v>
      </c>
      <c r="C76" t="s">
        <v>9</v>
      </c>
      <c r="D76" t="s">
        <v>197</v>
      </c>
      <c r="E76" s="3">
        <v>45788</v>
      </c>
      <c r="F76" s="2">
        <v>0.53819444444444442</v>
      </c>
      <c r="G76">
        <v>2</v>
      </c>
      <c r="H76">
        <v>3</v>
      </c>
      <c r="I76">
        <v>1.4</v>
      </c>
      <c r="K76" s="9"/>
      <c r="L76" s="10">
        <v>6</v>
      </c>
      <c r="M76" s="10">
        <v>2</v>
      </c>
    </row>
    <row r="77" spans="1:13" x14ac:dyDescent="0.2">
      <c r="A77" t="s">
        <v>217</v>
      </c>
      <c r="B77" t="s">
        <v>218</v>
      </c>
      <c r="C77" t="s">
        <v>9</v>
      </c>
      <c r="D77" t="s">
        <v>197</v>
      </c>
      <c r="E77" s="3">
        <v>45788</v>
      </c>
      <c r="F77" s="2">
        <v>4.583333333333333E-2</v>
      </c>
      <c r="G77">
        <v>2</v>
      </c>
      <c r="H77">
        <v>8</v>
      </c>
      <c r="I77">
        <v>3.2</v>
      </c>
      <c r="J77">
        <f>SUM(H71:H77)</f>
        <v>26</v>
      </c>
      <c r="K77" s="9">
        <f>SUM(I71:I77)</f>
        <v>10.199999999999999</v>
      </c>
    </row>
    <row r="78" spans="1:13" x14ac:dyDescent="0.2">
      <c r="E78" s="3"/>
      <c r="F78" s="2"/>
      <c r="K78" s="9"/>
    </row>
    <row r="79" spans="1:13" x14ac:dyDescent="0.2">
      <c r="A79" t="s">
        <v>256</v>
      </c>
      <c r="B79" t="s">
        <v>257</v>
      </c>
      <c r="C79" t="s">
        <v>258</v>
      </c>
      <c r="D79" t="s">
        <v>239</v>
      </c>
      <c r="E79" s="3">
        <v>45788</v>
      </c>
      <c r="F79" s="2">
        <v>0.45069444444444445</v>
      </c>
      <c r="G79">
        <v>1</v>
      </c>
      <c r="K79" s="9"/>
      <c r="L79">
        <v>12</v>
      </c>
      <c r="M79">
        <v>3.9</v>
      </c>
    </row>
    <row r="80" spans="1:13" x14ac:dyDescent="0.2">
      <c r="A80" t="s">
        <v>228</v>
      </c>
      <c r="B80" t="s">
        <v>229</v>
      </c>
      <c r="C80" t="s">
        <v>230</v>
      </c>
      <c r="D80" t="s">
        <v>239</v>
      </c>
      <c r="E80" s="3">
        <v>45788</v>
      </c>
      <c r="F80" s="2">
        <v>0.46041666666666664</v>
      </c>
      <c r="G80">
        <v>1</v>
      </c>
      <c r="H80">
        <v>7</v>
      </c>
      <c r="I80">
        <v>1.8</v>
      </c>
      <c r="K80" s="9"/>
    </row>
    <row r="81" spans="1:13" x14ac:dyDescent="0.2">
      <c r="A81" t="s">
        <v>235</v>
      </c>
      <c r="B81" t="s">
        <v>236</v>
      </c>
      <c r="C81" t="s">
        <v>230</v>
      </c>
      <c r="D81" t="s">
        <v>239</v>
      </c>
      <c r="E81" s="3">
        <v>45788</v>
      </c>
      <c r="F81" s="2">
        <v>0.46527777777777779</v>
      </c>
      <c r="G81">
        <v>1</v>
      </c>
      <c r="H81">
        <v>4</v>
      </c>
      <c r="I81">
        <v>1.1000000000000001</v>
      </c>
      <c r="K81" s="9"/>
    </row>
    <row r="82" spans="1:13" x14ac:dyDescent="0.2">
      <c r="A82" t="s">
        <v>240</v>
      </c>
      <c r="B82" t="s">
        <v>241</v>
      </c>
      <c r="C82" t="s">
        <v>230</v>
      </c>
      <c r="D82" t="s">
        <v>239</v>
      </c>
      <c r="E82" s="3">
        <v>45788</v>
      </c>
      <c r="F82" s="2">
        <v>0.46875</v>
      </c>
      <c r="G82">
        <v>1</v>
      </c>
      <c r="H82">
        <v>2</v>
      </c>
      <c r="I82">
        <v>0.4</v>
      </c>
      <c r="K82" s="9"/>
      <c r="L82" s="10">
        <v>8</v>
      </c>
      <c r="M82" s="10">
        <v>2.5</v>
      </c>
    </row>
    <row r="83" spans="1:13" x14ac:dyDescent="0.2">
      <c r="A83" t="s">
        <v>84</v>
      </c>
      <c r="B83" t="s">
        <v>232</v>
      </c>
      <c r="C83" t="s">
        <v>230</v>
      </c>
      <c r="D83" t="s">
        <v>239</v>
      </c>
      <c r="E83" s="3">
        <v>45788</v>
      </c>
      <c r="F83" s="2">
        <v>0.47638888888888886</v>
      </c>
      <c r="G83">
        <v>1</v>
      </c>
      <c r="H83">
        <v>2</v>
      </c>
      <c r="I83">
        <v>0.5</v>
      </c>
      <c r="J83">
        <f>SUM(H80:H83)</f>
        <v>15</v>
      </c>
      <c r="K83" s="9">
        <f>SUM(I80:J83)</f>
        <v>18.8</v>
      </c>
    </row>
    <row r="84" spans="1:13" x14ac:dyDescent="0.2">
      <c r="E84" s="3"/>
      <c r="F84" s="2"/>
      <c r="K84" s="9"/>
    </row>
    <row r="85" spans="1:13" x14ac:dyDescent="0.2">
      <c r="A85" t="s">
        <v>237</v>
      </c>
      <c r="B85" t="s">
        <v>238</v>
      </c>
      <c r="C85" t="s">
        <v>9</v>
      </c>
      <c r="D85" t="s">
        <v>239</v>
      </c>
      <c r="E85" s="3">
        <v>45788</v>
      </c>
      <c r="F85" s="2">
        <v>0.50416666666666665</v>
      </c>
      <c r="G85">
        <v>2</v>
      </c>
      <c r="K85" s="9"/>
      <c r="L85">
        <v>4</v>
      </c>
      <c r="M85">
        <v>1</v>
      </c>
    </row>
    <row r="86" spans="1:13" x14ac:dyDescent="0.2">
      <c r="A86" t="s">
        <v>226</v>
      </c>
      <c r="B86" t="s">
        <v>227</v>
      </c>
      <c r="C86" t="s">
        <v>9</v>
      </c>
      <c r="D86" t="s">
        <v>239</v>
      </c>
      <c r="E86" s="3">
        <v>45788</v>
      </c>
      <c r="F86" s="2">
        <v>0.5083333333333333</v>
      </c>
      <c r="G86">
        <v>2</v>
      </c>
      <c r="H86">
        <v>2</v>
      </c>
      <c r="I86">
        <v>0.8</v>
      </c>
      <c r="K86" s="9"/>
    </row>
    <row r="87" spans="1:13" x14ac:dyDescent="0.2">
      <c r="A87" t="s">
        <v>247</v>
      </c>
      <c r="B87" t="s">
        <v>248</v>
      </c>
      <c r="C87" t="s">
        <v>9</v>
      </c>
      <c r="D87" t="s">
        <v>239</v>
      </c>
      <c r="E87" s="3">
        <v>45788</v>
      </c>
      <c r="F87" s="2">
        <v>0.5131944444444444</v>
      </c>
      <c r="G87">
        <v>2</v>
      </c>
      <c r="H87">
        <v>3</v>
      </c>
      <c r="I87">
        <v>0.7</v>
      </c>
      <c r="K87" s="9"/>
      <c r="L87" s="10">
        <v>7</v>
      </c>
      <c r="M87" s="10">
        <v>2.2000000000000002</v>
      </c>
    </row>
    <row r="88" spans="1:13" x14ac:dyDescent="0.2">
      <c r="A88" t="s">
        <v>251</v>
      </c>
      <c r="B88" t="s">
        <v>252</v>
      </c>
      <c r="C88" t="s">
        <v>9</v>
      </c>
      <c r="D88" t="s">
        <v>239</v>
      </c>
      <c r="E88" s="3">
        <v>45788</v>
      </c>
      <c r="F88" s="2">
        <v>0.51666666666666672</v>
      </c>
      <c r="G88">
        <v>2</v>
      </c>
      <c r="H88">
        <v>3</v>
      </c>
      <c r="I88">
        <v>1</v>
      </c>
      <c r="J88">
        <f>SUM(H86:H88)</f>
        <v>8</v>
      </c>
      <c r="K88" s="9">
        <f>SUM(I86:I88)</f>
        <v>2.5</v>
      </c>
    </row>
    <row r="89" spans="1:13" x14ac:dyDescent="0.2">
      <c r="E89" s="3"/>
      <c r="F89" s="2"/>
      <c r="K89" s="9"/>
    </row>
    <row r="90" spans="1:13" x14ac:dyDescent="0.2">
      <c r="A90" t="s">
        <v>249</v>
      </c>
      <c r="B90" t="s">
        <v>250</v>
      </c>
      <c r="C90" t="s">
        <v>9</v>
      </c>
      <c r="D90" t="s">
        <v>239</v>
      </c>
      <c r="E90" s="3">
        <v>45788</v>
      </c>
      <c r="F90" s="2">
        <v>4.5138888888888888E-2</v>
      </c>
      <c r="G90">
        <v>3</v>
      </c>
      <c r="K90" s="9"/>
      <c r="L90">
        <v>7</v>
      </c>
      <c r="M90">
        <v>2.5</v>
      </c>
    </row>
    <row r="91" spans="1:13" x14ac:dyDescent="0.2">
      <c r="A91" t="s">
        <v>262</v>
      </c>
      <c r="B91" t="s">
        <v>263</v>
      </c>
      <c r="C91" t="s">
        <v>9</v>
      </c>
      <c r="D91" t="s">
        <v>239</v>
      </c>
      <c r="E91" s="3">
        <v>45788</v>
      </c>
      <c r="F91" s="2">
        <v>5.8333333333333334E-2</v>
      </c>
      <c r="G91">
        <v>3</v>
      </c>
      <c r="H91">
        <v>4</v>
      </c>
      <c r="I91">
        <v>1.5</v>
      </c>
      <c r="K91" s="9"/>
    </row>
    <row r="92" spans="1:13" x14ac:dyDescent="0.2">
      <c r="A92" t="s">
        <v>242</v>
      </c>
      <c r="B92" t="s">
        <v>243</v>
      </c>
      <c r="C92" t="s">
        <v>9</v>
      </c>
      <c r="D92" t="s">
        <v>239</v>
      </c>
      <c r="E92" s="3">
        <v>45788</v>
      </c>
      <c r="F92" s="2">
        <v>6.1111111111111109E-2</v>
      </c>
      <c r="G92">
        <v>3</v>
      </c>
      <c r="H92">
        <v>2</v>
      </c>
      <c r="I92">
        <v>0.4</v>
      </c>
      <c r="K92" s="9"/>
    </row>
    <row r="93" spans="1:13" x14ac:dyDescent="0.2">
      <c r="A93" t="s">
        <v>244</v>
      </c>
      <c r="B93" t="s">
        <v>245</v>
      </c>
      <c r="C93" t="s">
        <v>9</v>
      </c>
      <c r="D93" t="s">
        <v>239</v>
      </c>
      <c r="E93" s="3">
        <v>45788</v>
      </c>
      <c r="F93" s="2">
        <v>6.9444444444444448E-2</v>
      </c>
      <c r="G93">
        <v>3</v>
      </c>
      <c r="H93">
        <v>4</v>
      </c>
      <c r="I93">
        <v>1.2</v>
      </c>
      <c r="K93" s="9"/>
      <c r="L93" s="10">
        <v>5</v>
      </c>
      <c r="M93" s="10">
        <v>1</v>
      </c>
    </row>
    <row r="94" spans="1:13" x14ac:dyDescent="0.2">
      <c r="A94" t="s">
        <v>233</v>
      </c>
      <c r="B94" t="s">
        <v>234</v>
      </c>
      <c r="C94" t="s">
        <v>9</v>
      </c>
      <c r="D94" t="s">
        <v>239</v>
      </c>
      <c r="E94" s="3">
        <v>45788</v>
      </c>
      <c r="F94" s="2">
        <v>7.7083333333333337E-2</v>
      </c>
      <c r="G94">
        <v>3</v>
      </c>
      <c r="H94">
        <v>4</v>
      </c>
      <c r="I94">
        <v>0.9</v>
      </c>
      <c r="J94">
        <f>SUM(H91:H94)</f>
        <v>14</v>
      </c>
      <c r="K94" s="9">
        <f>SUM(I91:I94)</f>
        <v>3.9999999999999996</v>
      </c>
    </row>
    <row r="95" spans="1:13" x14ac:dyDescent="0.2">
      <c r="E95" s="3"/>
      <c r="F95" s="2"/>
      <c r="K95" s="9"/>
    </row>
    <row r="96" spans="1:13" x14ac:dyDescent="0.2">
      <c r="A96" t="s">
        <v>271</v>
      </c>
      <c r="B96" t="s">
        <v>272</v>
      </c>
      <c r="C96" t="s">
        <v>273</v>
      </c>
      <c r="D96" t="s">
        <v>268</v>
      </c>
      <c r="E96" s="3">
        <v>45788</v>
      </c>
      <c r="F96" s="2">
        <v>0.43333333333333335</v>
      </c>
      <c r="G96">
        <v>1</v>
      </c>
      <c r="K96" s="9"/>
      <c r="L96">
        <v>8</v>
      </c>
      <c r="M96">
        <v>2.8</v>
      </c>
    </row>
    <row r="97" spans="1:13" x14ac:dyDescent="0.2">
      <c r="A97" t="s">
        <v>299</v>
      </c>
      <c r="B97" t="s">
        <v>300</v>
      </c>
      <c r="C97" t="s">
        <v>273</v>
      </c>
      <c r="D97" t="s">
        <v>268</v>
      </c>
      <c r="E97" s="3">
        <v>45788</v>
      </c>
      <c r="F97" s="2">
        <v>0.4375</v>
      </c>
      <c r="G97">
        <v>1</v>
      </c>
      <c r="H97">
        <v>1</v>
      </c>
      <c r="I97">
        <v>0.3</v>
      </c>
      <c r="K97" s="9"/>
    </row>
    <row r="98" spans="1:13" x14ac:dyDescent="0.2">
      <c r="A98" t="s">
        <v>289</v>
      </c>
      <c r="B98" t="s">
        <v>290</v>
      </c>
      <c r="C98" t="s">
        <v>273</v>
      </c>
      <c r="D98" t="s">
        <v>268</v>
      </c>
      <c r="E98" s="3">
        <v>45788</v>
      </c>
      <c r="F98" s="2">
        <v>0.44236111111111109</v>
      </c>
      <c r="G98">
        <v>1</v>
      </c>
      <c r="H98">
        <v>3</v>
      </c>
      <c r="I98">
        <v>0.6</v>
      </c>
      <c r="K98" s="9"/>
    </row>
    <row r="99" spans="1:13" x14ac:dyDescent="0.2">
      <c r="A99" t="s">
        <v>297</v>
      </c>
      <c r="B99" t="s">
        <v>298</v>
      </c>
      <c r="C99" t="s">
        <v>255</v>
      </c>
      <c r="D99" t="s">
        <v>268</v>
      </c>
      <c r="E99" s="3">
        <v>45788</v>
      </c>
      <c r="F99" s="2">
        <v>0.44791666666666669</v>
      </c>
      <c r="G99">
        <v>1</v>
      </c>
      <c r="H99">
        <v>4</v>
      </c>
      <c r="I99">
        <v>1.1000000000000001</v>
      </c>
      <c r="K99" s="9"/>
    </row>
    <row r="100" spans="1:13" x14ac:dyDescent="0.2">
      <c r="A100" t="s">
        <v>253</v>
      </c>
      <c r="B100" t="s">
        <v>254</v>
      </c>
      <c r="C100" t="s">
        <v>255</v>
      </c>
      <c r="D100" t="s">
        <v>268</v>
      </c>
      <c r="E100" s="3">
        <v>45788</v>
      </c>
      <c r="F100" s="2">
        <v>0.4513888888888889</v>
      </c>
      <c r="G100">
        <v>1</v>
      </c>
      <c r="H100">
        <v>1</v>
      </c>
      <c r="I100">
        <v>0.2</v>
      </c>
      <c r="K100" s="9"/>
      <c r="L100" s="10">
        <v>9</v>
      </c>
      <c r="M100" s="10">
        <v>2.6</v>
      </c>
    </row>
    <row r="101" spans="1:13" x14ac:dyDescent="0.2">
      <c r="A101" t="s">
        <v>274</v>
      </c>
      <c r="B101" t="s">
        <v>275</v>
      </c>
      <c r="C101" t="s">
        <v>273</v>
      </c>
      <c r="D101" t="s">
        <v>268</v>
      </c>
      <c r="E101" s="3">
        <v>45788</v>
      </c>
      <c r="F101" s="2">
        <v>0.45555555555555555</v>
      </c>
      <c r="G101">
        <v>1</v>
      </c>
      <c r="H101">
        <v>5</v>
      </c>
      <c r="I101">
        <v>1.5</v>
      </c>
      <c r="J101">
        <f>SUM(H97:H101)</f>
        <v>14</v>
      </c>
      <c r="K101" s="9">
        <f>SUM(I97:I101)</f>
        <v>3.7</v>
      </c>
    </row>
    <row r="102" spans="1:13" x14ac:dyDescent="0.2">
      <c r="E102" s="3"/>
      <c r="F102" s="2"/>
      <c r="K102" s="9"/>
    </row>
    <row r="103" spans="1:13" x14ac:dyDescent="0.2">
      <c r="A103" t="s">
        <v>278</v>
      </c>
      <c r="B103" t="s">
        <v>261</v>
      </c>
      <c r="C103" t="s">
        <v>46</v>
      </c>
      <c r="D103" t="s">
        <v>268</v>
      </c>
      <c r="E103" s="3">
        <v>45788</v>
      </c>
      <c r="F103" s="2">
        <v>0.48749999999999999</v>
      </c>
      <c r="G103">
        <v>2</v>
      </c>
      <c r="K103" s="9"/>
      <c r="L103">
        <v>5</v>
      </c>
      <c r="M103">
        <v>1.7</v>
      </c>
    </row>
    <row r="104" spans="1:13" x14ac:dyDescent="0.2">
      <c r="A104" t="s">
        <v>303</v>
      </c>
      <c r="B104" t="s">
        <v>304</v>
      </c>
      <c r="C104" t="s">
        <v>273</v>
      </c>
      <c r="D104" t="s">
        <v>268</v>
      </c>
      <c r="E104" s="3">
        <v>45788</v>
      </c>
      <c r="F104" s="2">
        <v>0.49236111111111114</v>
      </c>
      <c r="G104">
        <v>2</v>
      </c>
      <c r="H104">
        <v>3</v>
      </c>
      <c r="I104">
        <v>0.7</v>
      </c>
      <c r="K104" s="9"/>
    </row>
    <row r="105" spans="1:13" x14ac:dyDescent="0.2">
      <c r="A105" t="s">
        <v>279</v>
      </c>
      <c r="B105" t="s">
        <v>280</v>
      </c>
      <c r="C105" t="s">
        <v>9</v>
      </c>
      <c r="D105" t="s">
        <v>268</v>
      </c>
      <c r="E105" s="3">
        <v>45788</v>
      </c>
      <c r="F105" s="2">
        <v>0.5</v>
      </c>
      <c r="G105">
        <v>2</v>
      </c>
      <c r="H105">
        <v>6</v>
      </c>
      <c r="I105">
        <v>1.7</v>
      </c>
      <c r="K105" s="9"/>
    </row>
    <row r="106" spans="1:13" x14ac:dyDescent="0.2">
      <c r="A106" t="s">
        <v>291</v>
      </c>
      <c r="B106" t="s">
        <v>292</v>
      </c>
      <c r="C106" t="s">
        <v>9</v>
      </c>
      <c r="D106" t="s">
        <v>268</v>
      </c>
      <c r="E106" s="3">
        <v>45788</v>
      </c>
      <c r="F106" s="2">
        <v>0.50486111111111109</v>
      </c>
      <c r="G106">
        <v>2</v>
      </c>
      <c r="H106">
        <v>1</v>
      </c>
      <c r="I106">
        <v>0.3</v>
      </c>
      <c r="K106" s="9"/>
    </row>
    <row r="107" spans="1:13" x14ac:dyDescent="0.2">
      <c r="A107" t="s">
        <v>301</v>
      </c>
      <c r="B107" t="s">
        <v>302</v>
      </c>
      <c r="C107" t="s">
        <v>9</v>
      </c>
      <c r="D107" t="s">
        <v>268</v>
      </c>
      <c r="E107" s="3">
        <v>45788</v>
      </c>
      <c r="F107" s="2">
        <v>0.51111111111111107</v>
      </c>
      <c r="G107">
        <v>2</v>
      </c>
      <c r="H107">
        <v>4</v>
      </c>
      <c r="I107">
        <v>1.2</v>
      </c>
      <c r="K107" s="9"/>
    </row>
    <row r="108" spans="1:13" x14ac:dyDescent="0.2">
      <c r="A108" t="s">
        <v>276</v>
      </c>
      <c r="B108" t="s">
        <v>277</v>
      </c>
      <c r="C108" t="s">
        <v>9</v>
      </c>
      <c r="D108" t="s">
        <v>268</v>
      </c>
      <c r="E108" s="3">
        <v>45788</v>
      </c>
      <c r="F108" s="2">
        <v>0.52083333333333337</v>
      </c>
      <c r="G108">
        <v>2</v>
      </c>
      <c r="H108">
        <v>9</v>
      </c>
      <c r="I108">
        <v>3</v>
      </c>
      <c r="K108" s="9"/>
    </row>
    <row r="109" spans="1:13" x14ac:dyDescent="0.2">
      <c r="A109" t="s">
        <v>295</v>
      </c>
      <c r="B109" t="s">
        <v>296</v>
      </c>
      <c r="C109" t="s">
        <v>9</v>
      </c>
      <c r="D109" t="s">
        <v>268</v>
      </c>
      <c r="E109" s="3">
        <v>45788</v>
      </c>
      <c r="F109" s="2">
        <v>0.53125</v>
      </c>
      <c r="G109">
        <v>2</v>
      </c>
      <c r="H109">
        <v>10</v>
      </c>
      <c r="I109">
        <v>3.5</v>
      </c>
      <c r="K109" s="9"/>
    </row>
    <row r="110" spans="1:13" x14ac:dyDescent="0.2">
      <c r="A110" t="s">
        <v>286</v>
      </c>
      <c r="B110" t="s">
        <v>287</v>
      </c>
      <c r="C110" t="s">
        <v>9</v>
      </c>
      <c r="D110" t="s">
        <v>268</v>
      </c>
      <c r="E110" s="3">
        <v>45788</v>
      </c>
      <c r="F110" s="2">
        <v>0.53611111111111109</v>
      </c>
      <c r="G110">
        <v>2</v>
      </c>
      <c r="H110">
        <v>7</v>
      </c>
      <c r="I110">
        <v>1.8</v>
      </c>
      <c r="K110" s="9"/>
    </row>
    <row r="111" spans="1:13" x14ac:dyDescent="0.2">
      <c r="A111" t="s">
        <v>281</v>
      </c>
      <c r="B111" t="s">
        <v>282</v>
      </c>
      <c r="C111" t="s">
        <v>9</v>
      </c>
      <c r="D111" t="s">
        <v>268</v>
      </c>
      <c r="E111" s="3">
        <v>45788</v>
      </c>
      <c r="F111" s="2">
        <v>4.791666666666667E-2</v>
      </c>
      <c r="G111">
        <v>2</v>
      </c>
      <c r="H111">
        <v>12</v>
      </c>
      <c r="I111">
        <v>2.9</v>
      </c>
      <c r="K111" s="9"/>
    </row>
    <row r="112" spans="1:13" x14ac:dyDescent="0.2">
      <c r="A112" t="s">
        <v>283</v>
      </c>
      <c r="B112" t="s">
        <v>284</v>
      </c>
      <c r="C112" t="s">
        <v>9</v>
      </c>
      <c r="D112" t="s">
        <v>268</v>
      </c>
      <c r="E112" s="3">
        <v>45788</v>
      </c>
      <c r="F112" s="2">
        <v>5.2777777777777778E-2</v>
      </c>
      <c r="G112">
        <v>2</v>
      </c>
      <c r="H112">
        <v>3</v>
      </c>
      <c r="I112">
        <v>1.1000000000000001</v>
      </c>
      <c r="K112" s="9"/>
      <c r="L112" s="10">
        <v>3</v>
      </c>
      <c r="M112" s="10">
        <v>0.9</v>
      </c>
    </row>
    <row r="113" spans="1:13" x14ac:dyDescent="0.2">
      <c r="A113" t="s">
        <v>288</v>
      </c>
      <c r="B113" t="s">
        <v>284</v>
      </c>
      <c r="C113" t="s">
        <v>9</v>
      </c>
      <c r="D113" t="s">
        <v>268</v>
      </c>
      <c r="E113" s="3">
        <v>45788</v>
      </c>
      <c r="F113" s="2">
        <v>5.2777777777777778E-2</v>
      </c>
      <c r="G113">
        <v>2</v>
      </c>
      <c r="J113">
        <f>SUM(H104:H112)</f>
        <v>55</v>
      </c>
      <c r="K113" s="9">
        <f>SUM(I104:I112)</f>
        <v>16.2</v>
      </c>
    </row>
    <row r="114" spans="1:13" x14ac:dyDescent="0.2">
      <c r="K114" s="9"/>
    </row>
    <row r="115" spans="1:13" x14ac:dyDescent="0.2">
      <c r="J115" s="11">
        <f>SUM(J4:J113)</f>
        <v>393</v>
      </c>
      <c r="K115" s="12">
        <f>SUM(K4:K113)</f>
        <v>140.19999999999999</v>
      </c>
      <c r="L115">
        <f>SUM(L2:L112)</f>
        <v>190</v>
      </c>
      <c r="M115">
        <f>SUM(M2:M112)</f>
        <v>90.000000000000014</v>
      </c>
    </row>
    <row r="116" spans="1:13" x14ac:dyDescent="0.2">
      <c r="J116">
        <f>J115/60</f>
        <v>6.55</v>
      </c>
      <c r="K116" s="9"/>
    </row>
    <row r="118" spans="1:13" x14ac:dyDescent="0.2">
      <c r="L118">
        <f>SUM(J115+L115)</f>
        <v>583</v>
      </c>
      <c r="M118">
        <f>SUM(K115,M115)</f>
        <v>230.2</v>
      </c>
    </row>
    <row r="121" spans="1:13" x14ac:dyDescent="0.2">
      <c r="J121" s="13"/>
      <c r="K121" s="14" t="s">
        <v>3</v>
      </c>
      <c r="L121" s="14" t="s">
        <v>391</v>
      </c>
    </row>
    <row r="122" spans="1:13" x14ac:dyDescent="0.2">
      <c r="J122" s="8" t="s">
        <v>392</v>
      </c>
      <c r="K122" s="1">
        <v>393</v>
      </c>
      <c r="L122" s="1">
        <v>140.19999999999999</v>
      </c>
    </row>
    <row r="123" spans="1:13" x14ac:dyDescent="0.2">
      <c r="J123" s="8" t="s">
        <v>390</v>
      </c>
      <c r="K123" s="1">
        <v>583</v>
      </c>
      <c r="L123" s="1">
        <v>230.2</v>
      </c>
    </row>
    <row r="128" spans="1:13" x14ac:dyDescent="0.2">
      <c r="J128" t="s">
        <v>393</v>
      </c>
    </row>
    <row r="129" spans="10:10" x14ac:dyDescent="0.2">
      <c r="J129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Margaret Healy</dc:creator>
  <cp:lastModifiedBy>Lizzie Margaret Healy</cp:lastModifiedBy>
  <dcterms:created xsi:type="dcterms:W3CDTF">2025-11-26T20:17:17Z</dcterms:created>
  <dcterms:modified xsi:type="dcterms:W3CDTF">2025-12-01T23:13:23Z</dcterms:modified>
</cp:coreProperties>
</file>