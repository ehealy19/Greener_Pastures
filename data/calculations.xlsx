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"/>
    </mc:Choice>
  </mc:AlternateContent>
  <xr:revisionPtr revIDLastSave="0" documentId="13_ncr:1_{8E1E056D-0212-374E-BD18-14F8BCF1F112}" xr6:coauthVersionLast="47" xr6:coauthVersionMax="47" xr10:uidLastSave="{00000000-0000-0000-0000-000000000000}"/>
  <bookViews>
    <workbookView xWindow="760" yWindow="5340" windowWidth="27980" windowHeight="16920" xr2:uid="{EE571B13-C74D-AB42-ABB6-12E148D49A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" i="1" l="1"/>
  <c r="L102" i="1"/>
  <c r="L100" i="1"/>
  <c r="K100" i="1"/>
  <c r="L90" i="1"/>
  <c r="K90" i="1"/>
  <c r="L81" i="1"/>
  <c r="K81" i="1"/>
  <c r="L71" i="1"/>
  <c r="K71" i="1"/>
  <c r="L61" i="1"/>
  <c r="K61" i="1"/>
  <c r="L51" i="1"/>
  <c r="K51" i="1"/>
  <c r="L41" i="1"/>
  <c r="K41" i="1"/>
  <c r="L31" i="1"/>
  <c r="K31" i="1"/>
  <c r="L21" i="1"/>
  <c r="K21" i="1"/>
  <c r="L11" i="1"/>
  <c r="K11" i="1"/>
  <c r="K102" i="1" l="1"/>
</calcChain>
</file>

<file path=xl/sharedStrings.xml><?xml version="1.0" encoding="utf-8"?>
<sst xmlns="http://schemas.openxmlformats.org/spreadsheetml/2006/main" count="209" uniqueCount="125">
  <si>
    <t>vehicle</t>
  </si>
  <si>
    <t>stop_number</t>
  </si>
  <si>
    <t>job_id</t>
  </si>
  <si>
    <t>address</t>
  </si>
  <si>
    <t>city</t>
  </si>
  <si>
    <t>lat</t>
  </si>
  <si>
    <t>lon</t>
  </si>
  <si>
    <t>1820 Spring Valley Dr</t>
  </si>
  <si>
    <t>Springfield</t>
  </si>
  <si>
    <t>20 Dundee Mews</t>
  </si>
  <si>
    <t>Media</t>
  </si>
  <si>
    <t>306 Stanley Ave</t>
  </si>
  <si>
    <t>Havertown</t>
  </si>
  <si>
    <t>810 Naylors Run Rd</t>
  </si>
  <si>
    <t>206 Walnut Place</t>
  </si>
  <si>
    <t>6953 Green Hill Rd</t>
  </si>
  <si>
    <t>Philadelphia</t>
  </si>
  <si>
    <t>727 Iris Ln</t>
  </si>
  <si>
    <t>418 Ravenscliff Dr</t>
  </si>
  <si>
    <t>1343 West Baltimore Pike</t>
  </si>
  <si>
    <t>1 Rose Hill Rd</t>
  </si>
  <si>
    <t>429 Matrissa Ridge</t>
  </si>
  <si>
    <t>1693 Cold Spring Rd</t>
  </si>
  <si>
    <t>Newtown Square</t>
  </si>
  <si>
    <t>72 Wharton Dr</t>
  </si>
  <si>
    <t>Glen Mills</t>
  </si>
  <si>
    <t>535 Gradyville Rd</t>
  </si>
  <si>
    <t>Newtown Sqare</t>
  </si>
  <si>
    <t>100 Walter Mill Lane</t>
  </si>
  <si>
    <t>31 North Feathering Ln</t>
  </si>
  <si>
    <t>100 Woodhill Lane</t>
  </si>
  <si>
    <t>125 Wilton Woods Ln</t>
  </si>
  <si>
    <t>1094 Palmers Mill Rd</t>
  </si>
  <si>
    <t>1383 Cedar Groove Rd</t>
  </si>
  <si>
    <t>1422 Palmer Dr</t>
  </si>
  <si>
    <t>129 Grandview Rd</t>
  </si>
  <si>
    <t>3711 Berry Ave</t>
  </si>
  <si>
    <t>Drexel Hill</t>
  </si>
  <si>
    <t>132 Alverstone Rd</t>
  </si>
  <si>
    <t>Clifton Heights</t>
  </si>
  <si>
    <t>308 Lynn Rd</t>
  </si>
  <si>
    <t>1235 Providence Rd</t>
  </si>
  <si>
    <t>24 Locust Rd</t>
  </si>
  <si>
    <t>Morton</t>
  </si>
  <si>
    <t>1919 Armstrong Ave</t>
  </si>
  <si>
    <t>103 President Ave</t>
  </si>
  <si>
    <t>Rutledge</t>
  </si>
  <si>
    <t>14 Linden Ave</t>
  </si>
  <si>
    <t>24 Penn Charter Dr</t>
  </si>
  <si>
    <t>1109 Baltimore Pike</t>
  </si>
  <si>
    <t>40 Barren Rd</t>
  </si>
  <si>
    <t>51 Rampart E</t>
  </si>
  <si>
    <t>19 Highpoint Drive 1</t>
  </si>
  <si>
    <t>30 Springhouse Lane</t>
  </si>
  <si>
    <t>45 Spring House Lane</t>
  </si>
  <si>
    <t>218 Mystic Lane</t>
  </si>
  <si>
    <t>400 Olde House Lane</t>
  </si>
  <si>
    <t>336 Catch Penny Lane</t>
  </si>
  <si>
    <t>1 Kelly Lane</t>
  </si>
  <si>
    <t>Wallingford</t>
  </si>
  <si>
    <t>801 Yale Ave</t>
  </si>
  <si>
    <t>Swarthmore</t>
  </si>
  <si>
    <t>323 S Chester Rd</t>
  </si>
  <si>
    <t xml:space="preserve">Swarthmore </t>
  </si>
  <si>
    <t>908 Mt Holyoke Place</t>
  </si>
  <si>
    <t>629 Strath Haven Ave</t>
  </si>
  <si>
    <t>509 Drew Ave</t>
  </si>
  <si>
    <t>221 Harvard Ave</t>
  </si>
  <si>
    <t>6 Village Greens Lane</t>
  </si>
  <si>
    <t>45 Dogwood Lane</t>
  </si>
  <si>
    <t>536 Odgen Ave</t>
  </si>
  <si>
    <t>1120 Roberts Rd</t>
  </si>
  <si>
    <t>296 Highland Ave</t>
  </si>
  <si>
    <t>12 Azalea Lane</t>
  </si>
  <si>
    <t>565 Rosemary Circle</t>
  </si>
  <si>
    <t>672 N Heilbron Drive</t>
  </si>
  <si>
    <t>530 South Heilbron Dr</t>
  </si>
  <si>
    <t>1236 Hunt Club Lane</t>
  </si>
  <si>
    <t>140 W Rose Tree Rd</t>
  </si>
  <si>
    <t>3 Cherry St</t>
  </si>
  <si>
    <t>109 Winter St</t>
  </si>
  <si>
    <t>120 W Rose Valley Rd</t>
  </si>
  <si>
    <t>613 Wilder Rd</t>
  </si>
  <si>
    <t>5 Sackville Lane</t>
  </si>
  <si>
    <t>Rose Valley</t>
  </si>
  <si>
    <t>709 Windsor Place</t>
  </si>
  <si>
    <t>613 School Lane</t>
  </si>
  <si>
    <t>113 Beech Rd</t>
  </si>
  <si>
    <t>812 Harvey Rd</t>
  </si>
  <si>
    <t>800 Avondale Rd</t>
  </si>
  <si>
    <t>707 Kent Road</t>
  </si>
  <si>
    <t>403 S Providence Rd</t>
  </si>
  <si>
    <t>440 Osage Lane</t>
  </si>
  <si>
    <t>6 Foxcroft Lane</t>
  </si>
  <si>
    <t>107 Judith Lane</t>
  </si>
  <si>
    <t>401 S New Middletown Rd</t>
  </si>
  <si>
    <t>44 W Dartmouth Circle</t>
  </si>
  <si>
    <t>355A Old Middletown Rd</t>
  </si>
  <si>
    <t>445 South Old Middletown Rd</t>
  </si>
  <si>
    <t>116 Bortondale Rd</t>
  </si>
  <si>
    <t>123 Bortondale Rd</t>
  </si>
  <si>
    <t>675 Park Avenue</t>
  </si>
  <si>
    <t>205 Hidden Acres Ln</t>
  </si>
  <si>
    <t>800 Ridge Ln</t>
  </si>
  <si>
    <t>312 Woodridge Lane</t>
  </si>
  <si>
    <t>310 Crum Creek Rd</t>
  </si>
  <si>
    <t>1103 Cable Hill Dr</t>
  </si>
  <si>
    <t>128 Millbrook Ln</t>
  </si>
  <si>
    <t>80 Old Mill Drive</t>
  </si>
  <si>
    <t>629 N Monroe St</t>
  </si>
  <si>
    <t>26 W 6th St</t>
  </si>
  <si>
    <t>444 W Baltimore Ave</t>
  </si>
  <si>
    <t>30 E Franklin St</t>
  </si>
  <si>
    <t>316 South Plum St</t>
  </si>
  <si>
    <t>509 Glenwood Ave</t>
  </si>
  <si>
    <t>221 Moylan Ave</t>
  </si>
  <si>
    <t>2 Brookside Road</t>
  </si>
  <si>
    <t>1 Blackthorn Rd</t>
  </si>
  <si>
    <t>10 Gearys Lane</t>
  </si>
  <si>
    <t>732 Pine Ridge Rd</t>
  </si>
  <si>
    <t>733 Hemlock Rd</t>
  </si>
  <si>
    <t>Time</t>
  </si>
  <si>
    <t>Miles</t>
  </si>
  <si>
    <t>Total Time</t>
  </si>
  <si>
    <t>Tot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</si>
</sst>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CAC6-FC57-AC47-808A-3F4B655536A1}">
  <dimension ref="A1:L103"/>
  <sheetViews>
    <sheetView tabSelected="1" topLeftCell="A91" zoomScale="130" zoomScaleNormal="130" workbookViewId="0">
      <selection activeCell="N100" sqref="N100"/>
    </sheetView>
  </sheetViews>
  <sheetFormatPr baseColWidth="10" defaultRowHeight="16" x14ac:dyDescent="0.2"/>
  <cols>
    <col min="4" max="4" width="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121</v>
      </c>
      <c r="I1" t="s">
        <v>122</v>
      </c>
      <c r="K1" t="s">
        <v>123</v>
      </c>
      <c r="L1" t="s">
        <v>124</v>
      </c>
    </row>
    <row r="2" spans="1:12" x14ac:dyDescent="0.2">
      <c r="A2" s="1">
        <v>1</v>
      </c>
      <c r="B2" s="1">
        <v>1</v>
      </c>
      <c r="C2" s="1">
        <v>31</v>
      </c>
      <c r="D2" s="1" t="s">
        <v>7</v>
      </c>
      <c r="E2" s="1" t="s">
        <v>8</v>
      </c>
      <c r="F2" s="1">
        <v>39.942859796016997</v>
      </c>
      <c r="G2" s="1">
        <v>-75.373343052110002</v>
      </c>
    </row>
    <row r="3" spans="1:12" x14ac:dyDescent="0.2">
      <c r="A3" s="1">
        <v>1</v>
      </c>
      <c r="B3" s="1">
        <v>2</v>
      </c>
      <c r="C3" s="1">
        <v>35</v>
      </c>
      <c r="D3" s="1" t="s">
        <v>9</v>
      </c>
      <c r="E3" s="1" t="s">
        <v>10</v>
      </c>
      <c r="F3" s="1">
        <v>39.955193354820999</v>
      </c>
      <c r="G3" s="1">
        <v>-75.368527246854001</v>
      </c>
      <c r="H3" s="1">
        <v>6</v>
      </c>
      <c r="I3" s="1">
        <v>2.2000000000000002</v>
      </c>
    </row>
    <row r="4" spans="1:12" x14ac:dyDescent="0.2">
      <c r="A4" s="1">
        <v>1</v>
      </c>
      <c r="B4" s="1">
        <v>3</v>
      </c>
      <c r="C4" s="1">
        <v>48</v>
      </c>
      <c r="D4" s="1" t="s">
        <v>11</v>
      </c>
      <c r="E4" s="1" t="s">
        <v>12</v>
      </c>
      <c r="F4" s="1">
        <v>39.969882786397001</v>
      </c>
      <c r="G4" s="1">
        <v>-75.320606420857999</v>
      </c>
      <c r="H4" s="1">
        <v>11</v>
      </c>
      <c r="I4" s="1">
        <v>4.3</v>
      </c>
    </row>
    <row r="5" spans="1:12" x14ac:dyDescent="0.2">
      <c r="A5" s="1">
        <v>1</v>
      </c>
      <c r="B5" s="1">
        <v>4</v>
      </c>
      <c r="C5" s="1">
        <v>97</v>
      </c>
      <c r="D5" s="1" t="s">
        <v>13</v>
      </c>
      <c r="E5" s="1" t="s">
        <v>12</v>
      </c>
      <c r="F5" s="1">
        <v>39.973186874032997</v>
      </c>
      <c r="G5" s="1">
        <v>-75.305770302170998</v>
      </c>
      <c r="H5" s="1">
        <v>5</v>
      </c>
      <c r="I5" s="1">
        <v>1</v>
      </c>
    </row>
    <row r="6" spans="1:12" x14ac:dyDescent="0.2">
      <c r="A6" s="1">
        <v>1</v>
      </c>
      <c r="B6" s="1">
        <v>5</v>
      </c>
      <c r="C6" s="1">
        <v>37</v>
      </c>
      <c r="D6" s="1" t="s">
        <v>14</v>
      </c>
      <c r="E6" s="1" t="s">
        <v>12</v>
      </c>
      <c r="F6" s="1">
        <v>39.975306546482997</v>
      </c>
      <c r="G6" s="1">
        <v>-75.287713795661006</v>
      </c>
      <c r="H6" s="1">
        <v>5</v>
      </c>
      <c r="I6" s="1">
        <v>1.5</v>
      </c>
    </row>
    <row r="7" spans="1:12" x14ac:dyDescent="0.2">
      <c r="A7" s="1">
        <v>1</v>
      </c>
      <c r="B7" s="1">
        <v>6</v>
      </c>
      <c r="C7" s="1">
        <v>86</v>
      </c>
      <c r="D7" s="1" t="s">
        <v>15</v>
      </c>
      <c r="E7" s="1" t="s">
        <v>16</v>
      </c>
      <c r="F7" s="1">
        <v>39.983275922091003</v>
      </c>
      <c r="G7" s="1">
        <v>-75.260692768514005</v>
      </c>
      <c r="H7" s="1">
        <v>6</v>
      </c>
      <c r="I7" s="1">
        <v>1.9</v>
      </c>
    </row>
    <row r="8" spans="1:12" x14ac:dyDescent="0.2">
      <c r="A8" s="1">
        <v>1</v>
      </c>
      <c r="B8" s="1">
        <v>7</v>
      </c>
      <c r="C8" s="1">
        <v>90</v>
      </c>
      <c r="D8" s="1" t="s">
        <v>17</v>
      </c>
      <c r="E8" s="1" t="s">
        <v>10</v>
      </c>
      <c r="F8" s="1">
        <v>-75.422356106746506</v>
      </c>
      <c r="G8" s="1">
        <v>39.881741578337802</v>
      </c>
      <c r="H8" s="1">
        <v>38</v>
      </c>
      <c r="I8" s="1">
        <v>13.8</v>
      </c>
    </row>
    <row r="9" spans="1:12" x14ac:dyDescent="0.2">
      <c r="A9" s="1">
        <v>1</v>
      </c>
      <c r="B9" s="1">
        <v>8</v>
      </c>
      <c r="C9" s="1">
        <v>62</v>
      </c>
      <c r="D9" s="1" t="s">
        <v>18</v>
      </c>
      <c r="E9" s="1" t="s">
        <v>10</v>
      </c>
      <c r="F9" s="1">
        <v>-75.366180793019495</v>
      </c>
      <c r="G9" s="1">
        <v>39.939559179399097</v>
      </c>
      <c r="H9" s="1">
        <v>19</v>
      </c>
      <c r="I9" s="1">
        <v>7.8</v>
      </c>
    </row>
    <row r="10" spans="1:12" x14ac:dyDescent="0.2">
      <c r="A10" s="1">
        <v>1</v>
      </c>
      <c r="B10" s="1">
        <v>9</v>
      </c>
      <c r="C10" s="1">
        <v>25</v>
      </c>
      <c r="D10" s="1" t="s">
        <v>19</v>
      </c>
      <c r="E10" s="1" t="s">
        <v>10</v>
      </c>
      <c r="F10" s="1">
        <v>-75.451887422089001</v>
      </c>
      <c r="G10" s="1">
        <v>39.9099512364904</v>
      </c>
      <c r="H10" s="1">
        <v>14</v>
      </c>
      <c r="I10" s="1">
        <v>5.7</v>
      </c>
    </row>
    <row r="11" spans="1:12" x14ac:dyDescent="0.2">
      <c r="A11" s="1">
        <v>1</v>
      </c>
      <c r="B11" s="1">
        <v>10</v>
      </c>
      <c r="C11" s="1">
        <v>3</v>
      </c>
      <c r="D11" s="1" t="s">
        <v>20</v>
      </c>
      <c r="E11" s="1" t="s">
        <v>10</v>
      </c>
      <c r="F11" s="1">
        <v>-75.393996722089</v>
      </c>
      <c r="G11" s="1">
        <v>39.907328383407197</v>
      </c>
      <c r="H11" s="1">
        <v>13</v>
      </c>
      <c r="I11" s="1">
        <v>3.9</v>
      </c>
      <c r="K11" s="1">
        <f>SUM(H3:H11)</f>
        <v>117</v>
      </c>
      <c r="L11" s="1">
        <f>SUM(I3:I11)</f>
        <v>42.1</v>
      </c>
    </row>
    <row r="12" spans="1:12" x14ac:dyDescent="0.2">
      <c r="A12" s="2">
        <v>2</v>
      </c>
      <c r="B12" s="2">
        <v>1</v>
      </c>
      <c r="C12" s="2">
        <v>63</v>
      </c>
      <c r="D12" s="2" t="s">
        <v>21</v>
      </c>
      <c r="E12" s="2" t="s">
        <v>10</v>
      </c>
      <c r="F12" s="2">
        <v>39.919596908473999</v>
      </c>
      <c r="G12" s="2">
        <v>-75.45482624412</v>
      </c>
    </row>
    <row r="13" spans="1:12" x14ac:dyDescent="0.2">
      <c r="A13" s="2">
        <v>2</v>
      </c>
      <c r="B13" s="2">
        <v>2</v>
      </c>
      <c r="C13" s="2">
        <v>30</v>
      </c>
      <c r="D13" s="2" t="s">
        <v>22</v>
      </c>
      <c r="E13" s="2" t="s">
        <v>23</v>
      </c>
      <c r="F13" s="2">
        <v>39.949268434442999</v>
      </c>
      <c r="G13" s="2">
        <v>-75.482298146801</v>
      </c>
      <c r="H13" s="2">
        <v>8</v>
      </c>
      <c r="I13" s="2">
        <v>3.4</v>
      </c>
    </row>
    <row r="14" spans="1:12" x14ac:dyDescent="0.2">
      <c r="A14" s="2">
        <v>2</v>
      </c>
      <c r="B14" s="2">
        <v>3</v>
      </c>
      <c r="C14" s="2">
        <v>89</v>
      </c>
      <c r="D14" s="2" t="s">
        <v>24</v>
      </c>
      <c r="E14" s="2" t="s">
        <v>25</v>
      </c>
      <c r="F14" s="2">
        <v>39.942288947489999</v>
      </c>
      <c r="G14" s="2">
        <v>-75.520267119533997</v>
      </c>
      <c r="H14" s="2">
        <v>7</v>
      </c>
      <c r="I14" s="2">
        <v>3.1</v>
      </c>
    </row>
    <row r="15" spans="1:12" x14ac:dyDescent="0.2">
      <c r="A15" s="2">
        <v>2</v>
      </c>
      <c r="B15" s="2">
        <v>4</v>
      </c>
      <c r="C15" s="2">
        <v>75</v>
      </c>
      <c r="D15" s="2" t="s">
        <v>26</v>
      </c>
      <c r="E15" s="2" t="s">
        <v>27</v>
      </c>
      <c r="F15" s="2">
        <v>39.948046818599998</v>
      </c>
      <c r="G15" s="2">
        <v>-75.464820321158996</v>
      </c>
      <c r="H15" s="2">
        <v>9</v>
      </c>
      <c r="I15" s="2">
        <v>4.0999999999999996</v>
      </c>
    </row>
    <row r="16" spans="1:12" x14ac:dyDescent="0.2">
      <c r="A16" s="2">
        <v>2</v>
      </c>
      <c r="B16" s="2">
        <v>5</v>
      </c>
      <c r="C16" s="2">
        <v>5</v>
      </c>
      <c r="D16" s="2" t="s">
        <v>28</v>
      </c>
      <c r="E16" s="2" t="s">
        <v>10</v>
      </c>
      <c r="F16" s="2">
        <v>39.952489915176002</v>
      </c>
      <c r="G16" s="2">
        <v>-75.416511973572</v>
      </c>
      <c r="H16" s="2">
        <v>9</v>
      </c>
      <c r="I16" s="2">
        <v>3.8</v>
      </c>
    </row>
    <row r="17" spans="1:12" x14ac:dyDescent="0.2">
      <c r="A17" s="2">
        <v>2</v>
      </c>
      <c r="B17" s="2">
        <v>6</v>
      </c>
      <c r="C17" s="2">
        <v>50</v>
      </c>
      <c r="D17" s="2" t="s">
        <v>29</v>
      </c>
      <c r="E17" s="2" t="s">
        <v>10</v>
      </c>
      <c r="F17" s="2">
        <v>39.947204156449999</v>
      </c>
      <c r="G17" s="2">
        <v>-75.416397857408001</v>
      </c>
      <c r="H17" s="2">
        <v>2</v>
      </c>
      <c r="I17" s="2">
        <v>0.6</v>
      </c>
    </row>
    <row r="18" spans="1:12" x14ac:dyDescent="0.2">
      <c r="A18" s="2">
        <v>2</v>
      </c>
      <c r="B18" s="2">
        <v>7</v>
      </c>
      <c r="C18" s="2">
        <v>6</v>
      </c>
      <c r="D18" s="2" t="s">
        <v>30</v>
      </c>
      <c r="E18" s="2" t="s">
        <v>10</v>
      </c>
      <c r="F18" s="2">
        <v>39.944559326201997</v>
      </c>
      <c r="G18" s="2">
        <v>-75.404407521581007</v>
      </c>
      <c r="H18" s="2">
        <v>3</v>
      </c>
      <c r="I18" s="2">
        <v>1</v>
      </c>
    </row>
    <row r="19" spans="1:12" x14ac:dyDescent="0.2">
      <c r="A19" s="2">
        <v>2</v>
      </c>
      <c r="B19" s="2">
        <v>8</v>
      </c>
      <c r="C19" s="2">
        <v>21</v>
      </c>
      <c r="D19" s="2" t="s">
        <v>31</v>
      </c>
      <c r="E19" s="2" t="s">
        <v>10</v>
      </c>
      <c r="F19" s="2">
        <v>39.947795741250999</v>
      </c>
      <c r="G19" s="2">
        <v>-75.403618779758006</v>
      </c>
      <c r="H19" s="2">
        <v>2</v>
      </c>
      <c r="I19" s="2">
        <v>0.7</v>
      </c>
    </row>
    <row r="20" spans="1:12" x14ac:dyDescent="0.2">
      <c r="A20" s="2">
        <v>2</v>
      </c>
      <c r="B20" s="2">
        <v>9</v>
      </c>
      <c r="C20" s="2">
        <v>10</v>
      </c>
      <c r="D20" s="2" t="s">
        <v>32</v>
      </c>
      <c r="E20" s="2" t="s">
        <v>10</v>
      </c>
      <c r="F20" s="2">
        <v>39.955337896433001</v>
      </c>
      <c r="G20" s="2">
        <v>-75.391831083114994</v>
      </c>
      <c r="H20" s="2">
        <v>5</v>
      </c>
      <c r="I20" s="2">
        <v>2</v>
      </c>
    </row>
    <row r="21" spans="1:12" x14ac:dyDescent="0.2">
      <c r="A21" s="2">
        <v>2</v>
      </c>
      <c r="B21" s="2">
        <v>10</v>
      </c>
      <c r="C21" s="2">
        <v>26</v>
      </c>
      <c r="D21" s="2" t="s">
        <v>33</v>
      </c>
      <c r="E21" s="2" t="s">
        <v>10</v>
      </c>
      <c r="F21" s="2">
        <v>39.962747675446003</v>
      </c>
      <c r="G21" s="2">
        <v>-75.392770962685006</v>
      </c>
      <c r="H21" s="2">
        <v>1</v>
      </c>
      <c r="I21" s="2">
        <v>0.6</v>
      </c>
      <c r="K21" s="2">
        <f>SUM(H13:H21)</f>
        <v>46</v>
      </c>
      <c r="L21" s="2">
        <f>SUM(I13:I21)</f>
        <v>19.3</v>
      </c>
    </row>
    <row r="22" spans="1:12" x14ac:dyDescent="0.2">
      <c r="A22" s="3">
        <v>3</v>
      </c>
      <c r="B22" s="3">
        <v>1</v>
      </c>
      <c r="C22" s="3">
        <v>29</v>
      </c>
      <c r="D22" s="3" t="s">
        <v>34</v>
      </c>
      <c r="E22" s="3" t="s">
        <v>8</v>
      </c>
      <c r="F22" s="3">
        <v>39.919573670056998</v>
      </c>
      <c r="G22" s="3">
        <v>-75.350921378039004</v>
      </c>
    </row>
    <row r="23" spans="1:12" x14ac:dyDescent="0.2">
      <c r="A23" s="3">
        <v>3</v>
      </c>
      <c r="B23" s="3">
        <v>2</v>
      </c>
      <c r="C23" s="3">
        <v>23</v>
      </c>
      <c r="D23" s="3" t="s">
        <v>35</v>
      </c>
      <c r="E23" s="3" t="s">
        <v>8</v>
      </c>
      <c r="F23" s="3">
        <v>39.938426765913</v>
      </c>
      <c r="G23" s="3">
        <v>-75.339660484988002</v>
      </c>
      <c r="H23" s="3">
        <v>9</v>
      </c>
      <c r="I23" s="3">
        <v>2.7</v>
      </c>
    </row>
    <row r="24" spans="1:12" x14ac:dyDescent="0.2">
      <c r="A24" s="3">
        <v>3</v>
      </c>
      <c r="B24" s="3">
        <v>3</v>
      </c>
      <c r="C24" s="3">
        <v>57</v>
      </c>
      <c r="D24" s="3" t="s">
        <v>36</v>
      </c>
      <c r="E24" s="3" t="s">
        <v>37</v>
      </c>
      <c r="F24" s="3">
        <v>39.945175339842997</v>
      </c>
      <c r="G24" s="3">
        <v>-75.297416288866998</v>
      </c>
      <c r="H24" s="3">
        <v>14</v>
      </c>
      <c r="I24" s="3">
        <v>3.5</v>
      </c>
    </row>
    <row r="25" spans="1:12" x14ac:dyDescent="0.2">
      <c r="A25" s="3">
        <v>3</v>
      </c>
      <c r="B25" s="3">
        <v>4</v>
      </c>
      <c r="C25" s="3">
        <v>24</v>
      </c>
      <c r="D25" s="3" t="s">
        <v>38</v>
      </c>
      <c r="E25" s="3" t="s">
        <v>39</v>
      </c>
      <c r="F25" s="3">
        <v>39.928081240456002</v>
      </c>
      <c r="G25" s="3">
        <v>-75.306627900793004</v>
      </c>
      <c r="H25" s="3">
        <v>8</v>
      </c>
      <c r="I25" s="3">
        <v>1.8</v>
      </c>
    </row>
    <row r="26" spans="1:12" x14ac:dyDescent="0.2">
      <c r="A26" s="3">
        <v>3</v>
      </c>
      <c r="B26" s="3">
        <v>5</v>
      </c>
      <c r="C26" s="3">
        <v>49</v>
      </c>
      <c r="D26" s="3" t="s">
        <v>40</v>
      </c>
      <c r="E26" s="3" t="s">
        <v>8</v>
      </c>
      <c r="F26" s="3">
        <v>39.925409112716999</v>
      </c>
      <c r="G26" s="3">
        <v>-75.324151330123996</v>
      </c>
      <c r="H26" s="3">
        <v>7</v>
      </c>
      <c r="I26" s="3">
        <v>1.5</v>
      </c>
    </row>
    <row r="27" spans="1:12" x14ac:dyDescent="0.2">
      <c r="A27" s="3">
        <v>3</v>
      </c>
      <c r="B27" s="3">
        <v>6</v>
      </c>
      <c r="C27" s="3">
        <v>19</v>
      </c>
      <c r="D27" s="3" t="s">
        <v>41</v>
      </c>
      <c r="E27" s="3" t="s">
        <v>8</v>
      </c>
      <c r="F27" s="3">
        <v>39.915144046409999</v>
      </c>
      <c r="G27" s="3">
        <v>-75.318458792239994</v>
      </c>
      <c r="H27" s="3">
        <v>5</v>
      </c>
      <c r="I27" s="3">
        <v>1.2</v>
      </c>
    </row>
    <row r="28" spans="1:12" x14ac:dyDescent="0.2">
      <c r="A28" s="3">
        <v>3</v>
      </c>
      <c r="B28" s="3">
        <v>7</v>
      </c>
      <c r="C28" s="3">
        <v>41</v>
      </c>
      <c r="D28" s="3" t="s">
        <v>42</v>
      </c>
      <c r="E28" s="3" t="s">
        <v>43</v>
      </c>
      <c r="F28" s="3">
        <v>39.913490681246003</v>
      </c>
      <c r="G28" s="3">
        <v>-75.324674250531999</v>
      </c>
      <c r="H28" s="3">
        <v>2</v>
      </c>
      <c r="I28" s="3">
        <v>0.5</v>
      </c>
    </row>
    <row r="29" spans="1:12" x14ac:dyDescent="0.2">
      <c r="A29" s="3">
        <v>3</v>
      </c>
      <c r="B29" s="3">
        <v>8</v>
      </c>
      <c r="C29" s="3">
        <v>33</v>
      </c>
      <c r="D29" s="3" t="s">
        <v>44</v>
      </c>
      <c r="E29" s="3" t="s">
        <v>43</v>
      </c>
      <c r="F29" s="3">
        <v>39.902685933043998</v>
      </c>
      <c r="G29" s="3">
        <v>-75.319773467654997</v>
      </c>
      <c r="H29" s="3">
        <v>4</v>
      </c>
      <c r="I29" s="3">
        <v>0.9</v>
      </c>
    </row>
    <row r="30" spans="1:12" x14ac:dyDescent="0.2">
      <c r="A30" s="3">
        <v>3</v>
      </c>
      <c r="B30" s="3">
        <v>9</v>
      </c>
      <c r="C30" s="3">
        <v>7</v>
      </c>
      <c r="D30" s="3" t="s">
        <v>45</v>
      </c>
      <c r="E30" s="3" t="s">
        <v>46</v>
      </c>
      <c r="F30" s="3">
        <v>39.9021327082</v>
      </c>
      <c r="G30" s="3">
        <v>-75.327855061918001</v>
      </c>
      <c r="H30" s="3">
        <v>2</v>
      </c>
      <c r="I30" s="3">
        <v>0.6</v>
      </c>
    </row>
    <row r="31" spans="1:12" x14ac:dyDescent="0.2">
      <c r="A31" s="3">
        <v>3</v>
      </c>
      <c r="B31" s="3">
        <v>10</v>
      </c>
      <c r="C31" s="3">
        <v>27</v>
      </c>
      <c r="D31" s="3" t="s">
        <v>47</v>
      </c>
      <c r="E31" s="3" t="s">
        <v>46</v>
      </c>
      <c r="F31" s="3">
        <v>39.904619842201001</v>
      </c>
      <c r="G31" s="3">
        <v>-75.328615512528003</v>
      </c>
      <c r="H31" s="3">
        <v>1</v>
      </c>
      <c r="I31" s="3">
        <v>0.2</v>
      </c>
      <c r="K31" s="3">
        <f>SUM(H23:H31)</f>
        <v>52</v>
      </c>
      <c r="L31" s="3">
        <f>SUM(I23:I31)</f>
        <v>12.899999999999999</v>
      </c>
    </row>
    <row r="32" spans="1:12" x14ac:dyDescent="0.2">
      <c r="A32" s="4">
        <v>4</v>
      </c>
      <c r="B32" s="4">
        <v>1</v>
      </c>
      <c r="C32" s="4">
        <v>42</v>
      </c>
      <c r="D32" s="4" t="s">
        <v>48</v>
      </c>
      <c r="E32" s="4" t="s">
        <v>10</v>
      </c>
      <c r="F32" s="4">
        <v>39.918423992699999</v>
      </c>
      <c r="G32" s="4">
        <v>-75.419262725086</v>
      </c>
    </row>
    <row r="33" spans="1:12" x14ac:dyDescent="0.2">
      <c r="A33" s="4">
        <v>4</v>
      </c>
      <c r="B33" s="4">
        <v>2</v>
      </c>
      <c r="C33" s="4">
        <v>12</v>
      </c>
      <c r="D33" s="4" t="s">
        <v>49</v>
      </c>
      <c r="E33" s="4" t="s">
        <v>10</v>
      </c>
      <c r="F33" s="4">
        <v>39.912502625960997</v>
      </c>
      <c r="G33" s="4">
        <v>-75.439428939102996</v>
      </c>
      <c r="H33" s="4">
        <v>3</v>
      </c>
      <c r="I33" s="4">
        <v>0.9</v>
      </c>
    </row>
    <row r="34" spans="1:12" x14ac:dyDescent="0.2">
      <c r="A34" s="4">
        <v>4</v>
      </c>
      <c r="B34" s="4">
        <v>3</v>
      </c>
      <c r="C34" s="4">
        <v>58</v>
      </c>
      <c r="D34" s="4" t="s">
        <v>50</v>
      </c>
      <c r="E34" s="4" t="s">
        <v>10</v>
      </c>
      <c r="F34" s="4">
        <v>39.919263905271002</v>
      </c>
      <c r="G34" s="4">
        <v>-75.437734998896005</v>
      </c>
      <c r="H34" s="4">
        <v>3</v>
      </c>
      <c r="I34" s="4">
        <v>0.9</v>
      </c>
    </row>
    <row r="35" spans="1:12" x14ac:dyDescent="0.2">
      <c r="A35" s="4">
        <v>4</v>
      </c>
      <c r="B35" s="4">
        <v>4</v>
      </c>
      <c r="C35" s="4">
        <v>73</v>
      </c>
      <c r="D35" s="4" t="s">
        <v>51</v>
      </c>
      <c r="E35" s="4" t="s">
        <v>10</v>
      </c>
      <c r="F35" s="4">
        <v>39.902468014782997</v>
      </c>
      <c r="G35" s="4">
        <v>-75.428884838307994</v>
      </c>
      <c r="H35" s="4">
        <v>6</v>
      </c>
      <c r="I35" s="4">
        <v>1.7</v>
      </c>
    </row>
    <row r="36" spans="1:12" x14ac:dyDescent="0.2">
      <c r="A36" s="4">
        <v>4</v>
      </c>
      <c r="B36" s="4">
        <v>5</v>
      </c>
      <c r="C36" s="4">
        <v>32</v>
      </c>
      <c r="D36" s="4" t="s">
        <v>52</v>
      </c>
      <c r="E36" s="4" t="s">
        <v>10</v>
      </c>
      <c r="F36" s="4">
        <v>39.900037163332001</v>
      </c>
      <c r="G36" s="4">
        <v>-75.445793659673001</v>
      </c>
      <c r="H36" s="4">
        <v>5</v>
      </c>
      <c r="I36" s="4">
        <v>1.6</v>
      </c>
    </row>
    <row r="37" spans="1:12" x14ac:dyDescent="0.2">
      <c r="A37" s="4">
        <v>4</v>
      </c>
      <c r="B37" s="4">
        <v>6</v>
      </c>
      <c r="C37" s="4">
        <v>47</v>
      </c>
      <c r="D37" s="4" t="s">
        <v>53</v>
      </c>
      <c r="E37" s="4" t="s">
        <v>10</v>
      </c>
      <c r="F37" s="4">
        <v>39.902675264727002</v>
      </c>
      <c r="G37" s="4">
        <v>-75.421509665027997</v>
      </c>
      <c r="H37" s="4">
        <v>5</v>
      </c>
      <c r="I37" s="4">
        <v>2.1</v>
      </c>
    </row>
    <row r="38" spans="1:12" x14ac:dyDescent="0.2">
      <c r="A38" s="4">
        <v>4</v>
      </c>
      <c r="B38" s="4">
        <v>7</v>
      </c>
      <c r="C38" s="4">
        <v>69</v>
      </c>
      <c r="D38" s="4" t="s">
        <v>54</v>
      </c>
      <c r="E38" s="4" t="s">
        <v>10</v>
      </c>
      <c r="F38" s="4">
        <v>39.900999528348997</v>
      </c>
      <c r="G38" s="4">
        <v>-75.420838479761997</v>
      </c>
      <c r="H38" s="4">
        <v>1</v>
      </c>
      <c r="I38" s="4">
        <v>0.1</v>
      </c>
    </row>
    <row r="39" spans="1:12" x14ac:dyDescent="0.2">
      <c r="A39" s="4">
        <v>4</v>
      </c>
      <c r="B39" s="4">
        <v>8</v>
      </c>
      <c r="C39" s="4">
        <v>38</v>
      </c>
      <c r="D39" s="4" t="s">
        <v>55</v>
      </c>
      <c r="E39" s="4" t="s">
        <v>10</v>
      </c>
      <c r="F39" s="4">
        <v>39.896446699624001</v>
      </c>
      <c r="G39" s="4">
        <v>-75.422253728293001</v>
      </c>
      <c r="H39" s="4">
        <v>2</v>
      </c>
      <c r="I39" s="4">
        <v>0.6</v>
      </c>
    </row>
    <row r="40" spans="1:12" x14ac:dyDescent="0.2">
      <c r="A40" s="4">
        <v>4</v>
      </c>
      <c r="B40" s="4">
        <v>9</v>
      </c>
      <c r="C40" s="4">
        <v>59</v>
      </c>
      <c r="D40" s="4" t="s">
        <v>56</v>
      </c>
      <c r="E40" s="4" t="s">
        <v>10</v>
      </c>
      <c r="F40" s="4">
        <v>39.894624423434003</v>
      </c>
      <c r="G40" s="4">
        <v>-75.419876420649999</v>
      </c>
      <c r="H40" s="4">
        <v>1</v>
      </c>
      <c r="I40" s="4">
        <v>0.3</v>
      </c>
    </row>
    <row r="41" spans="1:12" x14ac:dyDescent="0.2">
      <c r="A41" s="4">
        <v>4</v>
      </c>
      <c r="B41" s="4">
        <v>10</v>
      </c>
      <c r="C41" s="4">
        <v>55</v>
      </c>
      <c r="D41" s="4" t="s">
        <v>57</v>
      </c>
      <c r="E41" s="4" t="s">
        <v>10</v>
      </c>
      <c r="F41" s="4">
        <v>39.890879317691002</v>
      </c>
      <c r="G41" s="4">
        <v>-75.419804658882001</v>
      </c>
      <c r="H41" s="4">
        <v>2</v>
      </c>
      <c r="I41" s="4">
        <v>0.8</v>
      </c>
      <c r="K41" s="4">
        <f>SUM(H33:H41)</f>
        <v>28</v>
      </c>
      <c r="L41" s="4">
        <f>SUM(I33:I41)</f>
        <v>9</v>
      </c>
    </row>
    <row r="42" spans="1:12" x14ac:dyDescent="0.2">
      <c r="A42" s="5">
        <v>5</v>
      </c>
      <c r="B42" s="5">
        <v>1</v>
      </c>
      <c r="C42" s="5">
        <v>2</v>
      </c>
      <c r="D42" s="5" t="s">
        <v>58</v>
      </c>
      <c r="E42" s="5" t="s">
        <v>59</v>
      </c>
      <c r="F42" s="5">
        <v>39.898556027562002</v>
      </c>
      <c r="G42" s="5">
        <v>-75.375889718498001</v>
      </c>
    </row>
    <row r="43" spans="1:12" x14ac:dyDescent="0.2">
      <c r="A43" s="5">
        <v>5</v>
      </c>
      <c r="B43" s="5">
        <v>2</v>
      </c>
      <c r="C43" s="5">
        <v>96</v>
      </c>
      <c r="D43" s="5" t="s">
        <v>60</v>
      </c>
      <c r="E43" s="5" t="s">
        <v>61</v>
      </c>
      <c r="F43" s="5">
        <v>39.896646913852003</v>
      </c>
      <c r="G43" s="5">
        <v>-75.353656563932006</v>
      </c>
      <c r="H43" s="5">
        <v>6</v>
      </c>
      <c r="I43" s="5">
        <v>1.8</v>
      </c>
    </row>
    <row r="44" spans="1:12" x14ac:dyDescent="0.2">
      <c r="A44" s="5">
        <v>5</v>
      </c>
      <c r="B44" s="5">
        <v>3</v>
      </c>
      <c r="C44" s="5">
        <v>54</v>
      </c>
      <c r="D44" s="5" t="s">
        <v>62</v>
      </c>
      <c r="E44" s="5" t="s">
        <v>63</v>
      </c>
      <c r="F44" s="5">
        <v>39.896800119018003</v>
      </c>
      <c r="G44" s="5">
        <v>-75.351180483964001</v>
      </c>
      <c r="H44" s="5">
        <v>2</v>
      </c>
      <c r="I44" s="5">
        <v>0.3</v>
      </c>
    </row>
    <row r="45" spans="1:12" x14ac:dyDescent="0.2">
      <c r="A45" s="5">
        <v>5</v>
      </c>
      <c r="B45" s="5">
        <v>4</v>
      </c>
      <c r="C45" s="5">
        <v>99</v>
      </c>
      <c r="D45" s="5" t="s">
        <v>64</v>
      </c>
      <c r="E45" s="5" t="s">
        <v>63</v>
      </c>
      <c r="F45" s="5">
        <v>39.893860489562002</v>
      </c>
      <c r="G45" s="5">
        <v>-75.353690778930996</v>
      </c>
      <c r="H45" s="5">
        <v>1</v>
      </c>
      <c r="I45" s="5">
        <v>0.3</v>
      </c>
    </row>
    <row r="46" spans="1:12" x14ac:dyDescent="0.2">
      <c r="A46" s="5">
        <v>5</v>
      </c>
      <c r="B46" s="5">
        <v>5</v>
      </c>
      <c r="C46" s="5">
        <v>83</v>
      </c>
      <c r="D46" s="5" t="s">
        <v>65</v>
      </c>
      <c r="E46" s="5" t="s">
        <v>61</v>
      </c>
      <c r="F46" s="5">
        <v>39.893561671984003</v>
      </c>
      <c r="G46" s="5">
        <v>-75.350640199335999</v>
      </c>
      <c r="H46" s="5">
        <v>1</v>
      </c>
      <c r="I46" s="5">
        <v>0.2</v>
      </c>
    </row>
    <row r="47" spans="1:12" x14ac:dyDescent="0.2">
      <c r="A47" s="5">
        <v>5</v>
      </c>
      <c r="B47" s="5">
        <v>6</v>
      </c>
      <c r="C47" s="5">
        <v>71</v>
      </c>
      <c r="D47" s="5" t="s">
        <v>66</v>
      </c>
      <c r="E47" s="5" t="s">
        <v>61</v>
      </c>
      <c r="F47" s="5">
        <v>39.892807154267999</v>
      </c>
      <c r="G47" s="5">
        <v>-75.344426995600998</v>
      </c>
      <c r="H47" s="5">
        <v>2</v>
      </c>
      <c r="I47" s="5">
        <v>0.4</v>
      </c>
    </row>
    <row r="48" spans="1:12" x14ac:dyDescent="0.2">
      <c r="A48" s="5">
        <v>5</v>
      </c>
      <c r="B48" s="5">
        <v>7</v>
      </c>
      <c r="C48" s="5">
        <v>39</v>
      </c>
      <c r="D48" s="5" t="s">
        <v>67</v>
      </c>
      <c r="E48" s="5" t="s">
        <v>63</v>
      </c>
      <c r="F48" s="5">
        <v>39.900985508871003</v>
      </c>
      <c r="G48" s="5">
        <v>-75.344849949915996</v>
      </c>
      <c r="H48" s="5">
        <v>3</v>
      </c>
      <c r="I48" s="5">
        <v>1</v>
      </c>
    </row>
    <row r="49" spans="1:12" x14ac:dyDescent="0.2">
      <c r="A49" s="5">
        <v>5</v>
      </c>
      <c r="B49" s="5">
        <v>8</v>
      </c>
      <c r="C49" s="5">
        <v>79</v>
      </c>
      <c r="D49" s="5" t="s">
        <v>68</v>
      </c>
      <c r="E49" s="5" t="s">
        <v>61</v>
      </c>
      <c r="F49" s="5">
        <v>39.903413430945001</v>
      </c>
      <c r="G49" s="5">
        <v>-75.346183253500996</v>
      </c>
      <c r="H49" s="5">
        <v>2</v>
      </c>
      <c r="I49" s="5">
        <v>0.4</v>
      </c>
    </row>
    <row r="50" spans="1:12" x14ac:dyDescent="0.2">
      <c r="A50" s="5">
        <v>5</v>
      </c>
      <c r="B50" s="5">
        <v>9</v>
      </c>
      <c r="C50" s="5">
        <v>68</v>
      </c>
      <c r="D50" s="5" t="s">
        <v>69</v>
      </c>
      <c r="E50" s="5" t="s">
        <v>63</v>
      </c>
      <c r="F50" s="5">
        <v>39.907682286492999</v>
      </c>
      <c r="G50" s="5">
        <v>-75.341939338051006</v>
      </c>
      <c r="H50" s="5">
        <v>3</v>
      </c>
      <c r="I50" s="5">
        <v>0.9</v>
      </c>
    </row>
    <row r="51" spans="1:12" x14ac:dyDescent="0.2">
      <c r="A51" s="5">
        <v>5</v>
      </c>
      <c r="B51" s="5">
        <v>10</v>
      </c>
      <c r="C51" s="5">
        <v>76</v>
      </c>
      <c r="D51" s="5" t="s">
        <v>70</v>
      </c>
      <c r="E51" s="5" t="s">
        <v>63</v>
      </c>
      <c r="F51" s="5">
        <v>39.909522815358002</v>
      </c>
      <c r="G51" s="5">
        <v>-75.352072919373001</v>
      </c>
      <c r="H51" s="5">
        <v>3</v>
      </c>
      <c r="I51" s="5">
        <v>0.8</v>
      </c>
      <c r="K51" s="5">
        <f>SUM(H43:H51)</f>
        <v>23</v>
      </c>
      <c r="L51" s="5">
        <f>SUM(I43:I51)</f>
        <v>6.1000000000000005</v>
      </c>
    </row>
    <row r="52" spans="1:12" x14ac:dyDescent="0.2">
      <c r="A52" s="6">
        <v>6</v>
      </c>
      <c r="B52" s="6">
        <v>1</v>
      </c>
      <c r="C52" s="6">
        <v>13</v>
      </c>
      <c r="D52" s="6" t="s">
        <v>71</v>
      </c>
      <c r="E52" s="6" t="s">
        <v>10</v>
      </c>
      <c r="F52" s="6">
        <v>39.930776030257</v>
      </c>
      <c r="G52" s="6">
        <v>-75.392068185967005</v>
      </c>
    </row>
    <row r="53" spans="1:12" x14ac:dyDescent="0.2">
      <c r="A53" s="6">
        <v>6</v>
      </c>
      <c r="B53" s="6">
        <v>2</v>
      </c>
      <c r="C53" s="6">
        <v>44</v>
      </c>
      <c r="D53" s="6" t="s">
        <v>72</v>
      </c>
      <c r="E53" s="6" t="s">
        <v>10</v>
      </c>
      <c r="F53" s="6">
        <v>39.928439608155003</v>
      </c>
      <c r="G53" s="6">
        <v>-75.397971760043006</v>
      </c>
      <c r="H53" s="6">
        <v>2</v>
      </c>
      <c r="I53" s="6">
        <v>0.6</v>
      </c>
    </row>
    <row r="54" spans="1:12" x14ac:dyDescent="0.2">
      <c r="A54" s="6">
        <v>6</v>
      </c>
      <c r="B54" s="6">
        <v>3</v>
      </c>
      <c r="C54" s="6">
        <v>16</v>
      </c>
      <c r="D54" s="6" t="s">
        <v>73</v>
      </c>
      <c r="E54" s="6" t="s">
        <v>10</v>
      </c>
      <c r="F54" s="6">
        <v>39.924925390243999</v>
      </c>
      <c r="G54" s="6">
        <v>-75.400254871105005</v>
      </c>
      <c r="H54" s="6">
        <v>2</v>
      </c>
      <c r="I54" s="6">
        <v>0.4</v>
      </c>
    </row>
    <row r="55" spans="1:12" x14ac:dyDescent="0.2">
      <c r="A55" s="6">
        <v>6</v>
      </c>
      <c r="B55" s="6">
        <v>4</v>
      </c>
      <c r="C55" s="6">
        <v>77</v>
      </c>
      <c r="D55" s="6" t="s">
        <v>74</v>
      </c>
      <c r="E55" s="6" t="s">
        <v>10</v>
      </c>
      <c r="F55" s="6">
        <v>39.924137953048998</v>
      </c>
      <c r="G55" s="6">
        <v>-75.403892856799999</v>
      </c>
      <c r="H55" s="6">
        <v>4</v>
      </c>
      <c r="I55" s="6">
        <v>1.2</v>
      </c>
    </row>
    <row r="56" spans="1:12" x14ac:dyDescent="0.2">
      <c r="A56" s="6">
        <v>6</v>
      </c>
      <c r="B56" s="6">
        <v>5</v>
      </c>
      <c r="C56" s="6">
        <v>84</v>
      </c>
      <c r="D56" s="6" t="s">
        <v>75</v>
      </c>
      <c r="E56" s="6" t="s">
        <v>10</v>
      </c>
      <c r="F56" s="6">
        <v>39.927499439541997</v>
      </c>
      <c r="G56" s="6">
        <v>-75.415329216038998</v>
      </c>
      <c r="H56" s="6">
        <v>3</v>
      </c>
      <c r="I56" s="6">
        <v>1.2</v>
      </c>
    </row>
    <row r="57" spans="1:12" x14ac:dyDescent="0.2">
      <c r="A57" s="6">
        <v>6</v>
      </c>
      <c r="B57" s="6">
        <v>6</v>
      </c>
      <c r="C57" s="6">
        <v>74</v>
      </c>
      <c r="D57" s="6" t="s">
        <v>76</v>
      </c>
      <c r="E57" s="6" t="s">
        <v>10</v>
      </c>
      <c r="F57" s="6">
        <v>39.924257436814003</v>
      </c>
      <c r="G57" s="6">
        <v>-75.413201266648002</v>
      </c>
      <c r="H57" s="6">
        <v>2</v>
      </c>
      <c r="I57" s="6">
        <v>0.6</v>
      </c>
    </row>
    <row r="58" spans="1:12" x14ac:dyDescent="0.2">
      <c r="A58" s="6">
        <v>6</v>
      </c>
      <c r="B58" s="6">
        <v>7</v>
      </c>
      <c r="C58" s="6">
        <v>20</v>
      </c>
      <c r="D58" s="6" t="s">
        <v>77</v>
      </c>
      <c r="E58" s="6" t="s">
        <v>10</v>
      </c>
      <c r="F58" s="6">
        <v>39.934267308792002</v>
      </c>
      <c r="G58" s="6">
        <v>-75.404271505880004</v>
      </c>
      <c r="H58" s="6">
        <v>3</v>
      </c>
      <c r="I58" s="6">
        <v>1.3</v>
      </c>
    </row>
    <row r="59" spans="1:12" x14ac:dyDescent="0.2">
      <c r="A59" s="6">
        <v>6</v>
      </c>
      <c r="B59" s="6">
        <v>8</v>
      </c>
      <c r="C59" s="6">
        <v>28</v>
      </c>
      <c r="D59" s="6" t="s">
        <v>78</v>
      </c>
      <c r="E59" s="6" t="s">
        <v>10</v>
      </c>
      <c r="F59" s="6">
        <v>39.935083884952</v>
      </c>
      <c r="G59" s="6">
        <v>-75.395828757269996</v>
      </c>
      <c r="H59" s="6">
        <v>2</v>
      </c>
      <c r="I59" s="6">
        <v>0.6</v>
      </c>
    </row>
    <row r="60" spans="1:12" x14ac:dyDescent="0.2">
      <c r="A60" s="6">
        <v>6</v>
      </c>
      <c r="B60" s="6">
        <v>9</v>
      </c>
      <c r="C60" s="6">
        <v>45</v>
      </c>
      <c r="D60" s="6" t="s">
        <v>79</v>
      </c>
      <c r="E60" s="6" t="s">
        <v>10</v>
      </c>
      <c r="F60" s="6">
        <v>39.924722353321997</v>
      </c>
      <c r="G60" s="6">
        <v>-75.383932803674995</v>
      </c>
      <c r="H60" s="6">
        <v>6</v>
      </c>
      <c r="I60" s="6">
        <v>1.3</v>
      </c>
    </row>
    <row r="61" spans="1:12" x14ac:dyDescent="0.2">
      <c r="A61" s="6">
        <v>6</v>
      </c>
      <c r="B61" s="6">
        <v>10</v>
      </c>
      <c r="C61" s="6">
        <v>9</v>
      </c>
      <c r="D61" s="6" t="s">
        <v>80</v>
      </c>
      <c r="E61" s="6" t="s">
        <v>10</v>
      </c>
      <c r="F61" s="6">
        <v>39.924328052804</v>
      </c>
      <c r="G61" s="6">
        <v>-75.381258023328996</v>
      </c>
      <c r="H61" s="6">
        <v>1</v>
      </c>
      <c r="I61" s="6">
        <v>0.2</v>
      </c>
      <c r="K61" s="6">
        <f>SUM(H53:H61)</f>
        <v>25</v>
      </c>
      <c r="L61" s="6">
        <f>SUM(I53:I61)</f>
        <v>7.3999999999999995</v>
      </c>
    </row>
    <row r="62" spans="1:12" x14ac:dyDescent="0.2">
      <c r="A62" s="7">
        <v>7</v>
      </c>
      <c r="B62" s="7">
        <v>1</v>
      </c>
      <c r="C62" s="7">
        <v>17</v>
      </c>
      <c r="D62" s="7" t="s">
        <v>81</v>
      </c>
      <c r="E62" s="7" t="s">
        <v>59</v>
      </c>
      <c r="F62" s="7">
        <v>39.895156752826999</v>
      </c>
      <c r="G62" s="7">
        <v>-75.38232061363</v>
      </c>
    </row>
    <row r="63" spans="1:12" x14ac:dyDescent="0.2">
      <c r="A63" s="7">
        <v>7</v>
      </c>
      <c r="B63" s="7">
        <v>2</v>
      </c>
      <c r="C63" s="7">
        <v>81</v>
      </c>
      <c r="D63" s="7" t="s">
        <v>82</v>
      </c>
      <c r="E63" s="7" t="s">
        <v>59</v>
      </c>
      <c r="F63" s="7">
        <v>39.886023847049998</v>
      </c>
      <c r="G63" s="7">
        <v>-75.379151259468998</v>
      </c>
      <c r="H63" s="7">
        <v>2</v>
      </c>
      <c r="I63" s="7">
        <v>1</v>
      </c>
    </row>
    <row r="64" spans="1:12" x14ac:dyDescent="0.2">
      <c r="A64" s="7">
        <v>7</v>
      </c>
      <c r="B64" s="7">
        <v>3</v>
      </c>
      <c r="C64" s="7">
        <v>70</v>
      </c>
      <c r="D64" s="7" t="s">
        <v>83</v>
      </c>
      <c r="E64" s="7" t="s">
        <v>84</v>
      </c>
      <c r="F64" s="7">
        <v>39.885402114762996</v>
      </c>
      <c r="G64" s="7">
        <v>-75.382308185000994</v>
      </c>
      <c r="H64" s="7">
        <v>1</v>
      </c>
      <c r="I64" s="7">
        <v>0.3</v>
      </c>
    </row>
    <row r="65" spans="1:12" x14ac:dyDescent="0.2">
      <c r="A65" s="7">
        <v>7</v>
      </c>
      <c r="B65" s="7">
        <v>4</v>
      </c>
      <c r="C65" s="7">
        <v>88</v>
      </c>
      <c r="D65" s="7" t="s">
        <v>85</v>
      </c>
      <c r="E65" s="7" t="s">
        <v>59</v>
      </c>
      <c r="F65" s="7">
        <v>39.882921080928</v>
      </c>
      <c r="G65" s="7">
        <v>-75.380455627543</v>
      </c>
      <c r="H65" s="7">
        <v>1</v>
      </c>
      <c r="I65" s="7">
        <v>0.3</v>
      </c>
    </row>
    <row r="66" spans="1:12" x14ac:dyDescent="0.2">
      <c r="A66" s="7">
        <v>7</v>
      </c>
      <c r="B66" s="7">
        <v>5</v>
      </c>
      <c r="C66" s="7">
        <v>80</v>
      </c>
      <c r="D66" s="7" t="s">
        <v>86</v>
      </c>
      <c r="E66" s="7" t="s">
        <v>59</v>
      </c>
      <c r="F66" s="7">
        <v>39.883668152939997</v>
      </c>
      <c r="G66" s="7">
        <v>-75.374444778823005</v>
      </c>
      <c r="H66" s="7">
        <v>2</v>
      </c>
      <c r="I66" s="7">
        <v>0.4</v>
      </c>
    </row>
    <row r="67" spans="1:12" x14ac:dyDescent="0.2">
      <c r="A67" s="7">
        <v>7</v>
      </c>
      <c r="B67" s="7">
        <v>6</v>
      </c>
      <c r="C67" s="7">
        <v>14</v>
      </c>
      <c r="D67" s="7" t="s">
        <v>87</v>
      </c>
      <c r="E67" s="7" t="s">
        <v>59</v>
      </c>
      <c r="F67" s="7">
        <v>39.875988018111002</v>
      </c>
      <c r="G67" s="7">
        <v>-75.370681561341001</v>
      </c>
      <c r="H67" s="7">
        <v>3</v>
      </c>
      <c r="I67" s="7">
        <v>0.7</v>
      </c>
    </row>
    <row r="68" spans="1:12" x14ac:dyDescent="0.2">
      <c r="A68" s="7">
        <v>7</v>
      </c>
      <c r="B68" s="7">
        <v>7</v>
      </c>
      <c r="C68" s="7">
        <v>98</v>
      </c>
      <c r="D68" s="7" t="s">
        <v>88</v>
      </c>
      <c r="E68" s="7" t="s">
        <v>59</v>
      </c>
      <c r="F68" s="7">
        <v>39.873716529785</v>
      </c>
      <c r="G68" s="7">
        <v>-75.367819058283004</v>
      </c>
      <c r="H68" s="7">
        <v>2</v>
      </c>
      <c r="I68" s="7">
        <v>0.3</v>
      </c>
    </row>
    <row r="69" spans="1:12" x14ac:dyDescent="0.2">
      <c r="A69" s="7">
        <v>7</v>
      </c>
      <c r="B69" s="7">
        <v>8</v>
      </c>
      <c r="C69" s="7">
        <v>94</v>
      </c>
      <c r="D69" s="7" t="s">
        <v>89</v>
      </c>
      <c r="E69" s="7" t="s">
        <v>59</v>
      </c>
      <c r="F69" s="7">
        <v>39.885408106698002</v>
      </c>
      <c r="G69" s="7">
        <v>-75.356212503007995</v>
      </c>
      <c r="H69" s="7">
        <v>7</v>
      </c>
      <c r="I69" s="7">
        <v>2</v>
      </c>
    </row>
    <row r="70" spans="1:12" x14ac:dyDescent="0.2">
      <c r="A70" s="7">
        <v>7</v>
      </c>
      <c r="B70" s="7">
        <v>9</v>
      </c>
      <c r="C70" s="7">
        <v>87</v>
      </c>
      <c r="D70" s="7" t="s">
        <v>90</v>
      </c>
      <c r="E70" s="7" t="s">
        <v>59</v>
      </c>
      <c r="F70" s="7">
        <v>39.882468323517998</v>
      </c>
      <c r="G70" s="7">
        <v>-75.366378152588993</v>
      </c>
      <c r="H70" s="7">
        <v>4</v>
      </c>
      <c r="I70" s="7">
        <v>1.2</v>
      </c>
    </row>
    <row r="71" spans="1:12" x14ac:dyDescent="0.2">
      <c r="A71" s="7">
        <v>7</v>
      </c>
      <c r="B71" s="7">
        <v>10</v>
      </c>
      <c r="C71" s="7">
        <v>61</v>
      </c>
      <c r="D71" s="7" t="s">
        <v>91</v>
      </c>
      <c r="E71" s="7" t="s">
        <v>59</v>
      </c>
      <c r="F71" s="7">
        <v>39.890474697933001</v>
      </c>
      <c r="G71" s="7">
        <v>-75.369139298632007</v>
      </c>
      <c r="H71" s="7">
        <v>2</v>
      </c>
      <c r="I71" s="7">
        <v>0.7</v>
      </c>
      <c r="K71" s="7">
        <f>SUM(H63:H71)</f>
        <v>24</v>
      </c>
      <c r="L71" s="7">
        <f>SUM(I63:I71)</f>
        <v>6.9</v>
      </c>
    </row>
    <row r="72" spans="1:12" x14ac:dyDescent="0.2">
      <c r="A72" s="8">
        <v>8</v>
      </c>
      <c r="B72" s="8">
        <v>1</v>
      </c>
      <c r="C72" s="8">
        <v>65</v>
      </c>
      <c r="D72" s="8" t="s">
        <v>92</v>
      </c>
      <c r="E72" s="8" t="s">
        <v>10</v>
      </c>
      <c r="F72" s="8">
        <v>39.906633358016997</v>
      </c>
      <c r="G72" s="8">
        <v>-75.389449262324007</v>
      </c>
    </row>
    <row r="73" spans="1:12" x14ac:dyDescent="0.2">
      <c r="A73" s="8">
        <v>8</v>
      </c>
      <c r="B73" s="8">
        <v>2</v>
      </c>
      <c r="C73" s="8">
        <v>78</v>
      </c>
      <c r="D73" s="8" t="s">
        <v>93</v>
      </c>
      <c r="E73" s="8" t="s">
        <v>10</v>
      </c>
      <c r="F73" s="8">
        <v>39.900488544749997</v>
      </c>
      <c r="G73" s="8">
        <v>-75.393833344730993</v>
      </c>
      <c r="H73" s="8">
        <v>3</v>
      </c>
      <c r="I73" s="8">
        <v>0.7</v>
      </c>
    </row>
    <row r="74" spans="1:12" x14ac:dyDescent="0.2">
      <c r="A74" s="8">
        <v>8</v>
      </c>
      <c r="B74" s="8">
        <v>3</v>
      </c>
      <c r="C74" s="8">
        <v>8</v>
      </c>
      <c r="D74" s="8" t="s">
        <v>94</v>
      </c>
      <c r="E74" s="8" t="s">
        <v>10</v>
      </c>
      <c r="F74" s="8">
        <v>39.888625403347</v>
      </c>
      <c r="G74" s="8">
        <v>-75.397380501095</v>
      </c>
      <c r="H74" s="8">
        <v>3</v>
      </c>
      <c r="I74" s="8">
        <v>1.3</v>
      </c>
    </row>
    <row r="75" spans="1:12" x14ac:dyDescent="0.2">
      <c r="A75" s="8">
        <v>8</v>
      </c>
      <c r="B75" s="8">
        <v>4</v>
      </c>
      <c r="C75" s="8">
        <v>60</v>
      </c>
      <c r="D75" s="8" t="s">
        <v>95</v>
      </c>
      <c r="E75" s="8" t="s">
        <v>10</v>
      </c>
      <c r="F75" s="8">
        <v>39.894593534507997</v>
      </c>
      <c r="G75" s="8">
        <v>-75.405114799550006</v>
      </c>
      <c r="H75" s="8">
        <v>4</v>
      </c>
      <c r="I75" s="8">
        <v>1.2</v>
      </c>
    </row>
    <row r="76" spans="1:12" x14ac:dyDescent="0.2">
      <c r="A76" s="8">
        <v>8</v>
      </c>
      <c r="B76" s="8">
        <v>5</v>
      </c>
      <c r="C76" s="8">
        <v>64</v>
      </c>
      <c r="D76" s="8" t="s">
        <v>96</v>
      </c>
      <c r="E76" s="8" t="s">
        <v>10</v>
      </c>
      <c r="F76" s="8">
        <v>39.897986781071999</v>
      </c>
      <c r="G76" s="8">
        <v>-75.409154301683003</v>
      </c>
      <c r="H76" s="8">
        <v>1</v>
      </c>
      <c r="I76" s="8">
        <v>0.5</v>
      </c>
    </row>
    <row r="77" spans="1:12" x14ac:dyDescent="0.2">
      <c r="A77" s="8">
        <v>8</v>
      </c>
      <c r="B77" s="8">
        <v>6</v>
      </c>
      <c r="C77" s="8">
        <v>56</v>
      </c>
      <c r="D77" s="8" t="s">
        <v>97</v>
      </c>
      <c r="E77" s="8" t="s">
        <v>10</v>
      </c>
      <c r="F77" s="8">
        <v>39.901716086577999</v>
      </c>
      <c r="G77" s="8">
        <v>-75.406299299216997</v>
      </c>
      <c r="H77" s="8">
        <v>3</v>
      </c>
      <c r="I77" s="8">
        <v>1.2</v>
      </c>
    </row>
    <row r="78" spans="1:12" x14ac:dyDescent="0.2">
      <c r="A78" s="8">
        <v>8</v>
      </c>
      <c r="B78" s="8">
        <v>7</v>
      </c>
      <c r="C78" s="8">
        <v>67</v>
      </c>
      <c r="D78" s="8" t="s">
        <v>98</v>
      </c>
      <c r="E78" s="8" t="s">
        <v>10</v>
      </c>
      <c r="F78" s="8">
        <v>39.898192310645001</v>
      </c>
      <c r="G78" s="8">
        <v>-75.402248295652001</v>
      </c>
      <c r="H78" s="8">
        <v>1</v>
      </c>
      <c r="I78" s="8">
        <v>0.3</v>
      </c>
    </row>
    <row r="79" spans="1:12" x14ac:dyDescent="0.2">
      <c r="A79" s="8">
        <v>8</v>
      </c>
      <c r="B79" s="8">
        <v>8</v>
      </c>
      <c r="C79" s="8">
        <v>15</v>
      </c>
      <c r="D79" s="8" t="s">
        <v>99</v>
      </c>
      <c r="E79" s="8" t="s">
        <v>10</v>
      </c>
      <c r="F79" s="8">
        <v>39.898882182049</v>
      </c>
      <c r="G79" s="8">
        <v>-75.401205553970996</v>
      </c>
      <c r="H79" s="8">
        <v>1</v>
      </c>
      <c r="I79" s="8">
        <v>0.1</v>
      </c>
    </row>
    <row r="80" spans="1:12" x14ac:dyDescent="0.2">
      <c r="A80" s="8">
        <v>8</v>
      </c>
      <c r="B80" s="8">
        <v>9</v>
      </c>
      <c r="C80" s="8">
        <v>18</v>
      </c>
      <c r="D80" s="8" t="s">
        <v>100</v>
      </c>
      <c r="E80" s="8" t="s">
        <v>10</v>
      </c>
      <c r="F80" s="8">
        <v>39.899143838394998</v>
      </c>
      <c r="G80" s="8">
        <v>-75.401045032997004</v>
      </c>
      <c r="H80" s="8">
        <v>1</v>
      </c>
      <c r="I80" s="8">
        <v>0.1</v>
      </c>
    </row>
    <row r="81" spans="1:12" x14ac:dyDescent="0.2">
      <c r="A81" s="8">
        <v>8</v>
      </c>
      <c r="B81" s="8">
        <v>10</v>
      </c>
      <c r="C81" s="8">
        <v>85</v>
      </c>
      <c r="D81" s="8" t="s">
        <v>101</v>
      </c>
      <c r="E81" s="8" t="s">
        <v>10</v>
      </c>
      <c r="F81" s="8">
        <v>39.909331640725</v>
      </c>
      <c r="G81" s="8">
        <v>-75.394416955327998</v>
      </c>
      <c r="H81" s="8">
        <v>1</v>
      </c>
      <c r="I81" s="8">
        <v>0.7</v>
      </c>
      <c r="K81" s="8">
        <f>SUM(H73:H81)</f>
        <v>18</v>
      </c>
      <c r="L81" s="8">
        <f>SUM(I73:I81)</f>
        <v>6.1</v>
      </c>
    </row>
    <row r="82" spans="1:12" x14ac:dyDescent="0.2">
      <c r="A82" s="9">
        <v>9</v>
      </c>
      <c r="B82" s="9">
        <v>1</v>
      </c>
      <c r="C82" s="9">
        <v>36</v>
      </c>
      <c r="D82" s="9" t="s">
        <v>102</v>
      </c>
      <c r="E82" s="9" t="s">
        <v>10</v>
      </c>
      <c r="F82" s="9">
        <v>39.920797561847003</v>
      </c>
      <c r="G82" s="9">
        <v>-75.377465643733004</v>
      </c>
    </row>
    <row r="83" spans="1:12" x14ac:dyDescent="0.2">
      <c r="A83" s="9">
        <v>9</v>
      </c>
      <c r="B83" s="9">
        <v>2</v>
      </c>
      <c r="C83" s="9">
        <v>95</v>
      </c>
      <c r="D83" s="9" t="s">
        <v>103</v>
      </c>
      <c r="E83" s="9" t="s">
        <v>10</v>
      </c>
      <c r="F83" s="9">
        <v>39.917951236339</v>
      </c>
      <c r="G83" s="9">
        <v>-75.368076449455998</v>
      </c>
      <c r="H83" s="9">
        <v>3</v>
      </c>
      <c r="I83" s="9">
        <v>0.9</v>
      </c>
    </row>
    <row r="84" spans="1:12" x14ac:dyDescent="0.2">
      <c r="A84" s="9">
        <v>9</v>
      </c>
      <c r="B84" s="9">
        <v>3</v>
      </c>
      <c r="C84" s="9">
        <v>52</v>
      </c>
      <c r="D84" s="9" t="s">
        <v>104</v>
      </c>
      <c r="E84" s="9" t="s">
        <v>10</v>
      </c>
      <c r="F84" s="9">
        <v>39.9190075518</v>
      </c>
      <c r="G84" s="9">
        <v>-75.371022456540999</v>
      </c>
      <c r="H84" s="9">
        <v>1</v>
      </c>
      <c r="I84" s="9">
        <v>0.3</v>
      </c>
    </row>
    <row r="85" spans="1:12" x14ac:dyDescent="0.2">
      <c r="A85" s="9">
        <v>9</v>
      </c>
      <c r="B85" s="9">
        <v>4</v>
      </c>
      <c r="C85" s="9">
        <v>51</v>
      </c>
      <c r="D85" s="9" t="s">
        <v>105</v>
      </c>
      <c r="E85" s="9" t="s">
        <v>10</v>
      </c>
      <c r="F85" s="9">
        <v>39.928890073950001</v>
      </c>
      <c r="G85" s="9">
        <v>-75.367188045660995</v>
      </c>
      <c r="H85" s="9">
        <v>3</v>
      </c>
      <c r="I85" s="9">
        <v>1.1000000000000001</v>
      </c>
    </row>
    <row r="86" spans="1:12" x14ac:dyDescent="0.2">
      <c r="A86" s="9">
        <v>9</v>
      </c>
      <c r="B86" s="9">
        <v>5</v>
      </c>
      <c r="C86" s="9">
        <v>11</v>
      </c>
      <c r="D86" s="9" t="s">
        <v>106</v>
      </c>
      <c r="E86" s="9" t="s">
        <v>8</v>
      </c>
      <c r="F86" s="9">
        <v>39.942705643380002</v>
      </c>
      <c r="G86" s="9">
        <v>-75.359670498648001</v>
      </c>
      <c r="H86" s="9">
        <v>3</v>
      </c>
      <c r="I86" s="9">
        <v>1.2</v>
      </c>
    </row>
    <row r="87" spans="1:12" x14ac:dyDescent="0.2">
      <c r="A87" s="9">
        <v>9</v>
      </c>
      <c r="B87" s="9">
        <v>6</v>
      </c>
      <c r="C87" s="9">
        <v>22</v>
      </c>
      <c r="D87" s="9" t="s">
        <v>107</v>
      </c>
      <c r="E87" s="9" t="s">
        <v>10</v>
      </c>
      <c r="F87" s="9">
        <v>39.930633689163002</v>
      </c>
      <c r="G87" s="9">
        <v>-75.377063333641999</v>
      </c>
      <c r="H87" s="9">
        <v>5</v>
      </c>
      <c r="I87" s="9">
        <v>1.6</v>
      </c>
    </row>
    <row r="88" spans="1:12" x14ac:dyDescent="0.2">
      <c r="A88" s="9">
        <v>9</v>
      </c>
      <c r="B88" s="9">
        <v>7</v>
      </c>
      <c r="C88" s="9">
        <v>93</v>
      </c>
      <c r="D88" s="9" t="s">
        <v>108</v>
      </c>
      <c r="E88" s="9" t="s">
        <v>10</v>
      </c>
      <c r="F88" s="9">
        <v>39.931041259486001</v>
      </c>
      <c r="G88" s="9">
        <v>-75.372632855168007</v>
      </c>
      <c r="H88" s="9">
        <v>2</v>
      </c>
      <c r="I88" s="9">
        <v>0.4</v>
      </c>
    </row>
    <row r="89" spans="1:12" x14ac:dyDescent="0.2">
      <c r="A89" s="9">
        <v>9</v>
      </c>
      <c r="B89" s="9">
        <v>8</v>
      </c>
      <c r="C89" s="9">
        <v>82</v>
      </c>
      <c r="D89" s="9" t="s">
        <v>109</v>
      </c>
      <c r="E89" s="9" t="s">
        <v>10</v>
      </c>
      <c r="F89" s="9">
        <v>39.924012979453003</v>
      </c>
      <c r="G89" s="9">
        <v>-75.386052155518996</v>
      </c>
      <c r="H89" s="9">
        <v>4</v>
      </c>
      <c r="I89" s="9">
        <v>1.1000000000000001</v>
      </c>
    </row>
    <row r="90" spans="1:12" x14ac:dyDescent="0.2">
      <c r="A90" s="9">
        <v>9</v>
      </c>
      <c r="B90" s="9">
        <v>9</v>
      </c>
      <c r="C90" s="9">
        <v>43</v>
      </c>
      <c r="D90" s="9" t="s">
        <v>110</v>
      </c>
      <c r="E90" s="9" t="s">
        <v>10</v>
      </c>
      <c r="F90" s="9">
        <v>39.923704026846998</v>
      </c>
      <c r="G90" s="9">
        <v>-75.388638314462</v>
      </c>
      <c r="H90" s="9">
        <v>1</v>
      </c>
      <c r="I90" s="9">
        <v>0.2</v>
      </c>
      <c r="K90" s="9">
        <f>SUM(H83:H90)</f>
        <v>22</v>
      </c>
      <c r="L90" s="9">
        <f>SUM(I83:I90)</f>
        <v>6.8</v>
      </c>
    </row>
    <row r="91" spans="1:12" x14ac:dyDescent="0.2">
      <c r="A91" s="10">
        <v>10</v>
      </c>
      <c r="B91" s="10">
        <v>1</v>
      </c>
      <c r="C91" s="10">
        <v>66</v>
      </c>
      <c r="D91" s="10" t="s">
        <v>111</v>
      </c>
      <c r="E91" s="10" t="s">
        <v>10</v>
      </c>
      <c r="F91" s="10">
        <v>39.915656716310998</v>
      </c>
      <c r="G91" s="10">
        <v>-75.381501317347997</v>
      </c>
    </row>
    <row r="92" spans="1:12" x14ac:dyDescent="0.2">
      <c r="A92" s="10">
        <v>10</v>
      </c>
      <c r="B92" s="10">
        <v>2</v>
      </c>
      <c r="C92" s="10">
        <v>46</v>
      </c>
      <c r="D92" s="10" t="s">
        <v>112</v>
      </c>
      <c r="E92" s="10" t="s">
        <v>10</v>
      </c>
      <c r="F92" s="10">
        <v>39.916082822462002</v>
      </c>
      <c r="G92" s="10">
        <v>-75.388731037753004</v>
      </c>
      <c r="H92" s="10">
        <v>3</v>
      </c>
      <c r="I92" s="10">
        <v>0.5</v>
      </c>
    </row>
    <row r="93" spans="1:12" x14ac:dyDescent="0.2">
      <c r="A93" s="10">
        <v>10</v>
      </c>
      <c r="B93" s="10">
        <v>3</v>
      </c>
      <c r="C93" s="10">
        <v>53</v>
      </c>
      <c r="D93" s="10" t="s">
        <v>113</v>
      </c>
      <c r="E93" s="10" t="s">
        <v>10</v>
      </c>
      <c r="F93" s="10">
        <v>39.916228803869998</v>
      </c>
      <c r="G93" s="10">
        <v>-75.390782731390004</v>
      </c>
      <c r="H93" s="10">
        <v>2</v>
      </c>
      <c r="I93" s="10">
        <v>0.2</v>
      </c>
    </row>
    <row r="94" spans="1:12" x14ac:dyDescent="0.2">
      <c r="A94" s="10">
        <v>10</v>
      </c>
      <c r="B94" s="10">
        <v>4</v>
      </c>
      <c r="C94" s="10">
        <v>72</v>
      </c>
      <c r="D94" s="10" t="s">
        <v>114</v>
      </c>
      <c r="E94" s="10" t="s">
        <v>10</v>
      </c>
      <c r="F94" s="10">
        <v>39.906505053162</v>
      </c>
      <c r="G94" s="10">
        <v>-75.387153942162996</v>
      </c>
      <c r="H94" s="10">
        <v>3</v>
      </c>
      <c r="I94" s="10">
        <v>1</v>
      </c>
    </row>
    <row r="95" spans="1:12" x14ac:dyDescent="0.2">
      <c r="A95" s="10">
        <v>10</v>
      </c>
      <c r="B95" s="10">
        <v>5</v>
      </c>
      <c r="C95" s="10">
        <v>40</v>
      </c>
      <c r="D95" s="10" t="s">
        <v>115</v>
      </c>
      <c r="E95" s="10" t="s">
        <v>10</v>
      </c>
      <c r="F95" s="10">
        <v>39.904812330810998</v>
      </c>
      <c r="G95" s="10">
        <v>-75.382319811523999</v>
      </c>
      <c r="H95" s="10">
        <v>3</v>
      </c>
      <c r="I95" s="10">
        <v>0.5</v>
      </c>
    </row>
    <row r="96" spans="1:12" x14ac:dyDescent="0.2">
      <c r="A96" s="10">
        <v>10</v>
      </c>
      <c r="B96" s="10">
        <v>6</v>
      </c>
      <c r="C96" s="10">
        <v>34</v>
      </c>
      <c r="D96" s="10" t="s">
        <v>116</v>
      </c>
      <c r="E96" s="10" t="s">
        <v>59</v>
      </c>
      <c r="F96" s="10">
        <v>39.90252736355</v>
      </c>
      <c r="G96" s="10">
        <v>-75.377730058508007</v>
      </c>
      <c r="H96" s="10">
        <v>3</v>
      </c>
      <c r="I96" s="10">
        <v>0.9</v>
      </c>
    </row>
    <row r="97" spans="1:12" x14ac:dyDescent="0.2">
      <c r="A97" s="10">
        <v>10</v>
      </c>
      <c r="B97" s="10">
        <v>7</v>
      </c>
      <c r="C97" s="10">
        <v>1</v>
      </c>
      <c r="D97" s="10" t="s">
        <v>117</v>
      </c>
      <c r="E97" s="10" t="s">
        <v>59</v>
      </c>
      <c r="F97" s="10">
        <v>39.904029845879002</v>
      </c>
      <c r="G97" s="10">
        <v>-75.373162804589995</v>
      </c>
      <c r="H97" s="10">
        <v>2</v>
      </c>
      <c r="I97" s="10">
        <v>0.5</v>
      </c>
    </row>
    <row r="98" spans="1:12" x14ac:dyDescent="0.2">
      <c r="A98" s="10">
        <v>10</v>
      </c>
      <c r="B98" s="10">
        <v>8</v>
      </c>
      <c r="C98" s="10">
        <v>4</v>
      </c>
      <c r="D98" s="10" t="s">
        <v>118</v>
      </c>
      <c r="E98" s="10" t="s">
        <v>59</v>
      </c>
      <c r="F98" s="10">
        <v>39.911089248750997</v>
      </c>
      <c r="G98" s="10">
        <v>-75.378586015438003</v>
      </c>
      <c r="H98" s="10">
        <v>2</v>
      </c>
      <c r="I98" s="10">
        <v>0.7</v>
      </c>
    </row>
    <row r="99" spans="1:12" x14ac:dyDescent="0.2">
      <c r="A99" s="10">
        <v>10</v>
      </c>
      <c r="B99" s="10">
        <v>9</v>
      </c>
      <c r="C99" s="10">
        <v>91</v>
      </c>
      <c r="D99" s="10" t="s">
        <v>119</v>
      </c>
      <c r="E99" s="10" t="s">
        <v>10</v>
      </c>
      <c r="F99" s="10">
        <v>39.916196049065</v>
      </c>
      <c r="G99" s="10">
        <v>-75.366559953399005</v>
      </c>
      <c r="H99" s="10">
        <v>5</v>
      </c>
      <c r="I99" s="10">
        <v>1.3</v>
      </c>
    </row>
    <row r="100" spans="1:12" x14ac:dyDescent="0.2">
      <c r="A100" s="10">
        <v>10</v>
      </c>
      <c r="B100" s="10">
        <v>10</v>
      </c>
      <c r="C100" s="10">
        <v>92</v>
      </c>
      <c r="D100" s="10" t="s">
        <v>120</v>
      </c>
      <c r="E100" s="10" t="s">
        <v>10</v>
      </c>
      <c r="F100" s="10">
        <v>39.917144556594003</v>
      </c>
      <c r="G100" s="10">
        <v>-75.366859858351006</v>
      </c>
      <c r="H100" s="10">
        <v>1</v>
      </c>
      <c r="I100" s="10">
        <v>0.3</v>
      </c>
      <c r="K100" s="10">
        <f>SUM(H92:H100)</f>
        <v>24</v>
      </c>
      <c r="L100" s="10">
        <f>SUM(I92:I100)</f>
        <v>5.8999999999999995</v>
      </c>
    </row>
    <row r="102" spans="1:12" x14ac:dyDescent="0.2">
      <c r="K102" s="11">
        <f>K11+K21+K31+K41+K51+K61+K71+K81+K90+K100</f>
        <v>379</v>
      </c>
      <c r="L102" s="11">
        <f>L11+L21+L31+L41+L51+L61+L71+L81+L90+L100</f>
        <v>122.50000000000001</v>
      </c>
    </row>
    <row r="103" spans="1:12" x14ac:dyDescent="0.2">
      <c r="K103">
        <f>K102/60</f>
        <v>6.3166666666666664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2025-12-01T20:31:47Z</dcterms:created>
  <dcterms:modified xsi:type="dcterms:W3CDTF">2025-12-01T21:37:23Z</dcterms:modified>
</cp:coreProperties>
</file>