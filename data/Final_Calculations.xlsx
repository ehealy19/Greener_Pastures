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zziehealy/Desktop/DSAN_5550/Final Project/Greener_Pastures/data/"/>
    </mc:Choice>
  </mc:AlternateContent>
  <xr:revisionPtr revIDLastSave="0" documentId="13_ncr:1_{6564357A-4518-5145-8CC9-E912F362727F}" xr6:coauthVersionLast="47" xr6:coauthVersionMax="47" xr10:uidLastSave="{00000000-0000-0000-0000-000000000000}"/>
  <bookViews>
    <workbookView xWindow="460" yWindow="760" windowWidth="27860" windowHeight="16800" xr2:uid="{029EDE42-AFEB-CD49-89CF-D70D52B47C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4" i="1" l="1"/>
  <c r="B45" i="1"/>
  <c r="B40" i="1"/>
  <c r="K55" i="1"/>
  <c r="I59" i="1" s="1"/>
  <c r="K54" i="1"/>
  <c r="K53" i="1"/>
  <c r="O51" i="1"/>
  <c r="O50" i="1"/>
  <c r="O49" i="1"/>
  <c r="K51" i="1"/>
  <c r="K49" i="1"/>
  <c r="I57" i="1" s="1"/>
  <c r="K50" i="1"/>
  <c r="I58" i="1" s="1"/>
  <c r="E74" i="1"/>
  <c r="D74" i="1"/>
  <c r="C74" i="1"/>
  <c r="B43" i="1"/>
  <c r="B44" i="1"/>
  <c r="B39" i="1"/>
  <c r="B38" i="1"/>
  <c r="B28" i="1"/>
  <c r="B27" i="1"/>
  <c r="C22" i="1"/>
  <c r="E40" i="1" l="1"/>
  <c r="K62" i="1"/>
  <c r="K61" i="1"/>
  <c r="E45" i="1"/>
  <c r="B29" i="1"/>
  <c r="E29" i="1" s="1"/>
</calcChain>
</file>

<file path=xl/sharedStrings.xml><?xml version="1.0" encoding="utf-8"?>
<sst xmlns="http://schemas.openxmlformats.org/spreadsheetml/2006/main" count="120" uniqueCount="60">
  <si>
    <t>Time</t>
  </si>
  <si>
    <t>Distance</t>
  </si>
  <si>
    <t>w/o MF</t>
  </si>
  <si>
    <t>w/ MF</t>
  </si>
  <si>
    <t>Manual</t>
  </si>
  <si>
    <t>Algo 1</t>
  </si>
  <si>
    <t>Algo 2</t>
  </si>
  <si>
    <t>These are the calculations from each sheet without including leaving/returning and including coming back to Media Florist (w/MF)</t>
  </si>
  <si>
    <t>These are the final calculations for each method of routing and the total time and distance for all trips:</t>
  </si>
  <si>
    <t>*10 max deliveries</t>
  </si>
  <si>
    <t>* 8 max deliveries</t>
  </si>
  <si>
    <t>Manual Routing:</t>
  </si>
  <si>
    <t>Algorithmic Routing:</t>
  </si>
  <si>
    <t>Trips</t>
  </si>
  <si>
    <t>= grams of carbon dioxide equivalent per mile</t>
  </si>
  <si>
    <t>EPM:</t>
  </si>
  <si>
    <t>1)</t>
  </si>
  <si>
    <t>2)</t>
  </si>
  <si>
    <t xml:space="preserve">EF = </t>
  </si>
  <si>
    <t>* high because deliveries vehicles and driving 20-30mph at most times</t>
  </si>
  <si>
    <t>500 gCO2eq/mile</t>
  </si>
  <si>
    <t>100 gCO2eq/min</t>
  </si>
  <si>
    <t>=(500 gCO2eq/mile * 230.2) + (100 gCO2eq/min * 100 * 3)</t>
  </si>
  <si>
    <t>gCO2eq</t>
  </si>
  <si>
    <t>Stops</t>
  </si>
  <si>
    <t>3)</t>
  </si>
  <si>
    <t xml:space="preserve">3) </t>
  </si>
  <si>
    <t>=(500 gCO2eq/mile * 173.5) + (100 gCO2eq/min * 100 * 3)</t>
  </si>
  <si>
    <t>pdCO2eq</t>
  </si>
  <si>
    <t>OR</t>
  </si>
  <si>
    <t>Final Comparison</t>
  </si>
  <si>
    <t>Emissions</t>
  </si>
  <si>
    <t>319.89pdCO2eq</t>
  </si>
  <si>
    <t>Reduction Calculations</t>
  </si>
  <si>
    <t>The Algorithmic Routing Saved…</t>
  </si>
  <si>
    <t>1h29min</t>
  </si>
  <si>
    <t>66.8 milees</t>
  </si>
  <si>
    <t>4 trips</t>
  </si>
  <si>
    <t>**********</t>
  </si>
  <si>
    <t>Cost Calculations:</t>
  </si>
  <si>
    <t>1) Fuel</t>
  </si>
  <si>
    <t>Manual:</t>
  </si>
  <si>
    <t>Algo 1:</t>
  </si>
  <si>
    <t>Algo 2:</t>
  </si>
  <si>
    <t>=$3.23 *230.2mi</t>
  </si>
  <si>
    <t>=$3.23 *163.4mi</t>
  </si>
  <si>
    <t>=$3.23 *173.5mi</t>
  </si>
  <si>
    <t>2) Labor</t>
  </si>
  <si>
    <t>=$20/hr *9.716hr * 10 ppl</t>
  </si>
  <si>
    <t>=$20/hr *8.233hr * 10 ppl</t>
  </si>
  <si>
    <t>=$20/hr *8.583hr * 10 ppl</t>
  </si>
  <si>
    <t>3) Total Cost</t>
  </si>
  <si>
    <t>4) Reduction</t>
  </si>
  <si>
    <t>=2686.746 - 2174.382</t>
  </si>
  <si>
    <t>=2686.746 - 2277.005</t>
  </si>
  <si>
    <t>Cost</t>
  </si>
  <si>
    <t>=(500 gCO2eq/mile * 163.4) + (100 gCO2eq/min * 100 * 3) + 0.01gCO2q</t>
  </si>
  <si>
    <t>257.39 pdCO2eq</t>
  </si>
  <si>
    <t>246.27 pdCO2eq</t>
  </si>
  <si>
    <t>73.62 pdCO2eq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</si>
</sst>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BFFDF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1" fillId="2" borderId="1" xfId="0" applyFont="1" applyFill="1" applyBorder="1"/>
    <xf numFmtId="0" fontId="2" fillId="2" borderId="0" xfId="0" applyFont="1" applyFill="1"/>
    <xf numFmtId="0" fontId="0" fillId="3" borderId="0" xfId="0" applyFill="1"/>
    <xf numFmtId="0" fontId="0" fillId="3" borderId="0" xfId="0" quotePrefix="1" applyFill="1"/>
    <xf numFmtId="3" fontId="0" fillId="3" borderId="0" xfId="0" applyNumberFormat="1" applyFill="1"/>
    <xf numFmtId="0" fontId="2" fillId="3" borderId="0" xfId="0" applyFont="1" applyFill="1"/>
    <xf numFmtId="0" fontId="1" fillId="3" borderId="0" xfId="0" applyFont="1" applyFill="1"/>
    <xf numFmtId="0" fontId="0" fillId="4" borderId="0" xfId="0" applyFill="1"/>
    <xf numFmtId="0" fontId="0" fillId="4" borderId="0" xfId="0" quotePrefix="1" applyFill="1"/>
    <xf numFmtId="0" fontId="1" fillId="4" borderId="0" xfId="0" applyFont="1" applyFill="1"/>
    <xf numFmtId="0" fontId="0" fillId="5" borderId="0" xfId="0" applyFill="1"/>
    <xf numFmtId="0" fontId="1" fillId="5" borderId="1" xfId="0" applyFont="1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1" fillId="2" borderId="0" xfId="0" applyFont="1" applyFill="1"/>
    <xf numFmtId="0" fontId="1" fillId="5" borderId="0" xfId="0" applyFont="1" applyFill="1"/>
    <xf numFmtId="0" fontId="2" fillId="2" borderId="3" xfId="0" applyFont="1" applyFill="1" applyBorder="1"/>
    <xf numFmtId="0" fontId="2" fillId="2" borderId="2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6" borderId="3" xfId="0" applyFont="1" applyFill="1" applyBorder="1"/>
    <xf numFmtId="0" fontId="0" fillId="6" borderId="0" xfId="0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5" xfId="0" applyFont="1" applyBorder="1"/>
    <xf numFmtId="0" fontId="3" fillId="0" borderId="4" xfId="0" applyFont="1" applyBorder="1"/>
    <xf numFmtId="0" fontId="4" fillId="0" borderId="0" xfId="0" applyFont="1"/>
    <xf numFmtId="0" fontId="0" fillId="0" borderId="0" xfId="0" quotePrefix="1"/>
    <xf numFmtId="0" fontId="0" fillId="7" borderId="0" xfId="0" applyFill="1"/>
    <xf numFmtId="0" fontId="1" fillId="7" borderId="0" xfId="0" applyFont="1" applyFill="1"/>
    <xf numFmtId="0" fontId="0" fillId="7" borderId="0" xfId="0" quotePrefix="1" applyFill="1"/>
    <xf numFmtId="8" fontId="4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BFF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14</xdr:row>
      <xdr:rowOff>63500</xdr:rowOff>
    </xdr:from>
    <xdr:to>
      <xdr:col>5</xdr:col>
      <xdr:colOff>635000</xdr:colOff>
      <xdr:row>16</xdr:row>
      <xdr:rowOff>161248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C5D6B4-B4B4-28B4-E48E-B92B283EC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2878667"/>
          <a:ext cx="4572000" cy="499914"/>
        </a:xfrm>
        <a:prstGeom prst="rect">
          <a:avLst/>
        </a:prstGeom>
      </xdr:spPr>
    </xdr:pic>
    <xdr:clientData/>
  </xdr:twoCellAnchor>
  <xdr:twoCellAnchor editAs="oneCell">
    <xdr:from>
      <xdr:col>0</xdr:col>
      <xdr:colOff>217714</xdr:colOff>
      <xdr:row>31</xdr:row>
      <xdr:rowOff>108858</xdr:rowOff>
    </xdr:from>
    <xdr:to>
      <xdr:col>8</xdr:col>
      <xdr:colOff>516986</xdr:colOff>
      <xdr:row>34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EAAABE-8960-2903-CB5E-35BE5AB4E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7714" y="3929441"/>
          <a:ext cx="6903272" cy="589642"/>
        </a:xfrm>
        <a:prstGeom prst="rect">
          <a:avLst/>
        </a:prstGeom>
      </xdr:spPr>
    </xdr:pic>
    <xdr:clientData/>
  </xdr:twoCellAnchor>
  <xdr:twoCellAnchor editAs="oneCell">
    <xdr:from>
      <xdr:col>0</xdr:col>
      <xdr:colOff>275166</xdr:colOff>
      <xdr:row>48</xdr:row>
      <xdr:rowOff>0</xdr:rowOff>
    </xdr:from>
    <xdr:to>
      <xdr:col>4</xdr:col>
      <xdr:colOff>724786</xdr:colOff>
      <xdr:row>56</xdr:row>
      <xdr:rowOff>105833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F82866B-C967-7315-82DB-2EA42CB9A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5166" y="9652000"/>
          <a:ext cx="375162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54F7E-7C49-7445-9174-A10B5E16B365}">
  <dimension ref="A1:P83"/>
  <sheetViews>
    <sheetView tabSelected="1" topLeftCell="A64" zoomScale="120" zoomScaleNormal="120" workbookViewId="0">
      <selection activeCell="K73" sqref="K73"/>
    </sheetView>
  </sheetViews>
  <sheetFormatPr baseColWidth="10" defaultRowHeight="16" x14ac:dyDescent="0.2"/>
  <sheetData>
    <row r="1" spans="1:14" x14ac:dyDescent="0.2">
      <c r="A1" s="21" t="s">
        <v>7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4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4" x14ac:dyDescent="0.2">
      <c r="A3" s="7"/>
      <c r="B3" s="24" t="s">
        <v>0</v>
      </c>
      <c r="C3" s="24" t="s">
        <v>1</v>
      </c>
      <c r="D3" s="6"/>
      <c r="E3" s="7"/>
      <c r="F3" s="24" t="s">
        <v>0</v>
      </c>
      <c r="G3" s="24" t="s">
        <v>1</v>
      </c>
      <c r="H3" s="6"/>
      <c r="I3" s="7"/>
      <c r="J3" s="24" t="s">
        <v>0</v>
      </c>
      <c r="K3" s="24" t="s">
        <v>1</v>
      </c>
    </row>
    <row r="4" spans="1:14" x14ac:dyDescent="0.2">
      <c r="A4" s="23" t="s">
        <v>2</v>
      </c>
      <c r="B4" s="8">
        <v>393</v>
      </c>
      <c r="C4" s="8">
        <v>140.19999999999999</v>
      </c>
      <c r="D4" s="6"/>
      <c r="E4" s="23" t="s">
        <v>2</v>
      </c>
      <c r="F4" s="8">
        <v>379</v>
      </c>
      <c r="G4" s="8">
        <v>122.5</v>
      </c>
      <c r="H4" s="6"/>
      <c r="I4" s="23" t="s">
        <v>2</v>
      </c>
      <c r="J4" s="8">
        <v>366</v>
      </c>
      <c r="K4" s="8">
        <v>119.7</v>
      </c>
    </row>
    <row r="5" spans="1:14" x14ac:dyDescent="0.2">
      <c r="A5" s="23" t="s">
        <v>3</v>
      </c>
      <c r="B5" s="8">
        <v>583</v>
      </c>
      <c r="C5" s="8">
        <v>230.2</v>
      </c>
      <c r="D5" s="6"/>
      <c r="E5" s="23" t="s">
        <v>3</v>
      </c>
      <c r="F5" s="8">
        <v>494</v>
      </c>
      <c r="G5" s="8">
        <v>163.4</v>
      </c>
      <c r="H5" s="6"/>
      <c r="I5" s="23" t="s">
        <v>3</v>
      </c>
      <c r="J5" s="8">
        <v>515</v>
      </c>
      <c r="K5" s="8">
        <v>173.5</v>
      </c>
    </row>
    <row r="6" spans="1:14" x14ac:dyDescent="0.2">
      <c r="E6" s="2"/>
      <c r="F6" s="2"/>
      <c r="G6" s="2"/>
    </row>
    <row r="7" spans="1:14" x14ac:dyDescent="0.2">
      <c r="A7" s="22" t="s">
        <v>8</v>
      </c>
      <c r="B7" s="17"/>
      <c r="C7" s="17"/>
      <c r="D7" s="17"/>
      <c r="E7" s="17"/>
      <c r="F7" s="17"/>
      <c r="G7" s="17"/>
      <c r="H7" s="17"/>
      <c r="I7" s="17"/>
      <c r="J7" s="17"/>
      <c r="K7" s="17"/>
    </row>
    <row r="8" spans="1:14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</row>
    <row r="9" spans="1:14" x14ac:dyDescent="0.2">
      <c r="A9" s="17"/>
      <c r="B9" s="17"/>
      <c r="C9" s="18"/>
      <c r="D9" s="19" t="s">
        <v>0</v>
      </c>
      <c r="E9" s="19" t="s">
        <v>1</v>
      </c>
      <c r="F9" s="19" t="s">
        <v>13</v>
      </c>
      <c r="G9" s="19" t="s">
        <v>24</v>
      </c>
      <c r="H9" s="17"/>
      <c r="I9" s="17"/>
      <c r="J9" s="17"/>
      <c r="K9" s="17"/>
    </row>
    <row r="10" spans="1:14" x14ac:dyDescent="0.2">
      <c r="A10" s="17"/>
      <c r="B10" s="17"/>
      <c r="C10" s="20" t="s">
        <v>4</v>
      </c>
      <c r="D10" s="17">
        <v>583</v>
      </c>
      <c r="E10" s="17">
        <v>230.2</v>
      </c>
      <c r="F10" s="17">
        <v>14</v>
      </c>
      <c r="G10" s="17">
        <v>100</v>
      </c>
      <c r="H10" s="17"/>
      <c r="I10" s="17"/>
      <c r="J10" s="17"/>
      <c r="K10" s="17"/>
    </row>
    <row r="11" spans="1:14" x14ac:dyDescent="0.2">
      <c r="A11" s="17"/>
      <c r="B11" s="17"/>
      <c r="C11" s="20" t="s">
        <v>5</v>
      </c>
      <c r="D11" s="17">
        <v>494</v>
      </c>
      <c r="E11" s="17">
        <v>163.4</v>
      </c>
      <c r="F11" s="17">
        <v>10</v>
      </c>
      <c r="G11" s="17">
        <v>100</v>
      </c>
      <c r="H11" s="17"/>
      <c r="I11" s="17" t="s">
        <v>9</v>
      </c>
      <c r="J11" s="17"/>
      <c r="K11" s="17"/>
    </row>
    <row r="12" spans="1:14" x14ac:dyDescent="0.2">
      <c r="A12" s="17"/>
      <c r="B12" s="17"/>
      <c r="C12" s="20" t="s">
        <v>6</v>
      </c>
      <c r="D12" s="17">
        <v>515</v>
      </c>
      <c r="E12" s="17">
        <v>173.5</v>
      </c>
      <c r="F12" s="17">
        <v>13</v>
      </c>
      <c r="G12" s="17">
        <v>100</v>
      </c>
      <c r="H12" s="17"/>
      <c r="I12" s="17" t="s">
        <v>10</v>
      </c>
      <c r="J12" s="17"/>
      <c r="K12" s="17"/>
    </row>
    <row r="14" spans="1:14" x14ac:dyDescent="0.2">
      <c r="A14" s="13" t="s">
        <v>11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4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4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x14ac:dyDescent="0.2">
      <c r="A19" s="9" t="s">
        <v>16</v>
      </c>
      <c r="B19" s="9" t="s">
        <v>15</v>
      </c>
      <c r="C19" s="9" t="s">
        <v>20</v>
      </c>
      <c r="D19" s="9"/>
      <c r="E19" s="10" t="s">
        <v>14</v>
      </c>
      <c r="F19" s="9"/>
      <c r="G19" s="9"/>
      <c r="H19" s="9"/>
      <c r="I19" s="9" t="s">
        <v>19</v>
      </c>
      <c r="J19" s="9"/>
      <c r="K19" s="9"/>
      <c r="L19" s="9"/>
      <c r="M19" s="9"/>
      <c r="N19" s="9"/>
    </row>
    <row r="20" spans="1:14" x14ac:dyDescent="0.2">
      <c r="A20" s="9"/>
      <c r="B20" s="9"/>
      <c r="C20" s="11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4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4" x14ac:dyDescent="0.2">
      <c r="A22" s="9"/>
      <c r="B22" s="9"/>
      <c r="C22" s="12">
        <f>550/200000</f>
        <v>2.7499999999999998E-3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4" x14ac:dyDescent="0.2">
      <c r="A23" s="9" t="s">
        <v>17</v>
      </c>
      <c r="B23" s="9" t="s">
        <v>18</v>
      </c>
      <c r="C23" s="9" t="s">
        <v>21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4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1:14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1:14" x14ac:dyDescent="0.2">
      <c r="A26" s="9" t="s">
        <v>25</v>
      </c>
      <c r="B26" s="10" t="s">
        <v>22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spans="1:14" x14ac:dyDescent="0.2">
      <c r="A27" s="9"/>
      <c r="B27" s="9">
        <f>500*230.2</f>
        <v>115100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4" x14ac:dyDescent="0.2">
      <c r="A28" s="9"/>
      <c r="B28" s="9">
        <f>100*100*3</f>
        <v>30000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2">
      <c r="A29" s="9"/>
      <c r="B29" s="13">
        <f>B27+B28</f>
        <v>145100</v>
      </c>
      <c r="C29" s="13" t="s">
        <v>23</v>
      </c>
      <c r="D29" s="9" t="s">
        <v>29</v>
      </c>
      <c r="E29" s="9">
        <f>B29*0.00220462</f>
        <v>319.89036199999998</v>
      </c>
      <c r="F29" s="9" t="s">
        <v>28</v>
      </c>
      <c r="G29" s="9"/>
      <c r="H29" s="9"/>
      <c r="I29" s="9"/>
      <c r="J29" s="9"/>
      <c r="K29" s="9"/>
      <c r="L29" s="9"/>
      <c r="M29" s="9"/>
      <c r="N29" s="9"/>
    </row>
    <row r="31" spans="1:14" x14ac:dyDescent="0.2">
      <c r="A31" s="16" t="s">
        <v>12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6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6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6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6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6" x14ac:dyDescent="0.2">
      <c r="A37" s="14" t="s">
        <v>26</v>
      </c>
      <c r="B37" s="15" t="s">
        <v>56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6" x14ac:dyDescent="0.2">
      <c r="A38" s="14"/>
      <c r="B38" s="14">
        <f>500*163.4</f>
        <v>81700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6" x14ac:dyDescent="0.2">
      <c r="A39" s="14"/>
      <c r="B39" s="14">
        <f>100*100*3</f>
        <v>30000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6" x14ac:dyDescent="0.2">
      <c r="A40" s="14"/>
      <c r="B40" s="16">
        <f>B38+B39+0.01</f>
        <v>111700.01</v>
      </c>
      <c r="C40" s="16" t="s">
        <v>23</v>
      </c>
      <c r="D40" s="14" t="s">
        <v>29</v>
      </c>
      <c r="E40" s="14">
        <f>B40*0.00220462</f>
        <v>246.25607604619998</v>
      </c>
      <c r="F40" s="14" t="s">
        <v>28</v>
      </c>
      <c r="G40" s="14"/>
      <c r="H40" s="14"/>
      <c r="I40" s="14"/>
      <c r="J40" s="14"/>
      <c r="K40" s="14"/>
      <c r="L40" s="14"/>
      <c r="M40" s="14"/>
      <c r="N40" s="14"/>
    </row>
    <row r="41" spans="1:16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6" x14ac:dyDescent="0.2">
      <c r="A42" s="14" t="s">
        <v>26</v>
      </c>
      <c r="B42" s="15" t="s">
        <v>27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6" x14ac:dyDescent="0.2">
      <c r="A43" s="14"/>
      <c r="B43" s="14">
        <f>500*173.5</f>
        <v>86750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6" x14ac:dyDescent="0.2">
      <c r="A44" s="14"/>
      <c r="B44" s="14">
        <f>100*100*3</f>
        <v>30000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6" x14ac:dyDescent="0.2">
      <c r="A45" s="14"/>
      <c r="B45" s="16">
        <f>B43+B44+0.01</f>
        <v>116750.01</v>
      </c>
      <c r="C45" s="16" t="s">
        <v>23</v>
      </c>
      <c r="D45" s="14" t="s">
        <v>29</v>
      </c>
      <c r="E45" s="14">
        <f>B45*0.00220462</f>
        <v>257.38940704620001</v>
      </c>
      <c r="F45" s="14" t="s">
        <v>28</v>
      </c>
      <c r="G45" s="14"/>
      <c r="H45" s="14"/>
      <c r="I45" s="14"/>
      <c r="J45" s="14"/>
      <c r="K45" s="14"/>
      <c r="L45" s="14"/>
      <c r="M45" s="14"/>
      <c r="N45" s="14"/>
    </row>
    <row r="46" spans="1:16" x14ac:dyDescent="0.2">
      <c r="B46" s="1"/>
      <c r="C46" s="1"/>
    </row>
    <row r="47" spans="1:16" x14ac:dyDescent="0.2">
      <c r="A47" s="37" t="s">
        <v>39</v>
      </c>
      <c r="B47" s="38"/>
      <c r="C47" s="38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</row>
    <row r="48" spans="1:16" x14ac:dyDescent="0.2">
      <c r="A48" s="37"/>
      <c r="B48" s="38"/>
      <c r="C48" s="38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</row>
    <row r="49" spans="1:16" x14ac:dyDescent="0.2">
      <c r="A49" s="37"/>
      <c r="B49" s="38"/>
      <c r="C49" s="38"/>
      <c r="D49" s="37"/>
      <c r="E49" s="37"/>
      <c r="F49" s="37"/>
      <c r="G49" s="37" t="s">
        <v>40</v>
      </c>
      <c r="H49" s="37" t="s">
        <v>41</v>
      </c>
      <c r="I49" s="39" t="s">
        <v>44</v>
      </c>
      <c r="J49" s="37"/>
      <c r="K49" s="37">
        <f>3.23*230.2</f>
        <v>743.54599999999994</v>
      </c>
      <c r="L49" s="37"/>
      <c r="M49" s="37"/>
      <c r="N49" s="37">
        <v>583</v>
      </c>
      <c r="O49" s="37">
        <f>N49/60</f>
        <v>9.7166666666666668</v>
      </c>
      <c r="P49" s="37"/>
    </row>
    <row r="50" spans="1:16" x14ac:dyDescent="0.2">
      <c r="A50" s="37"/>
      <c r="B50" s="38"/>
      <c r="C50" s="38"/>
      <c r="D50" s="37"/>
      <c r="E50" s="37"/>
      <c r="F50" s="37"/>
      <c r="G50" s="37"/>
      <c r="H50" s="37" t="s">
        <v>42</v>
      </c>
      <c r="I50" s="39" t="s">
        <v>45</v>
      </c>
      <c r="J50" s="37"/>
      <c r="K50" s="37">
        <f>3.23*163.4</f>
        <v>527.78200000000004</v>
      </c>
      <c r="L50" s="37"/>
      <c r="M50" s="37"/>
      <c r="N50" s="37">
        <v>494</v>
      </c>
      <c r="O50" s="37">
        <f>N50/60</f>
        <v>8.2333333333333325</v>
      </c>
      <c r="P50" s="37"/>
    </row>
    <row r="51" spans="1:16" x14ac:dyDescent="0.2">
      <c r="A51" s="37"/>
      <c r="B51" s="38"/>
      <c r="C51" s="38"/>
      <c r="D51" s="37"/>
      <c r="E51" s="37"/>
      <c r="F51" s="37"/>
      <c r="G51" s="37"/>
      <c r="H51" s="37" t="s">
        <v>43</v>
      </c>
      <c r="I51" s="39" t="s">
        <v>46</v>
      </c>
      <c r="J51" s="37"/>
      <c r="K51" s="37">
        <f>3.23*173.5</f>
        <v>560.40499999999997</v>
      </c>
      <c r="L51" s="37"/>
      <c r="M51" s="37"/>
      <c r="N51" s="37">
        <v>515</v>
      </c>
      <c r="O51" s="37">
        <f>N51/60</f>
        <v>8.5833333333333339</v>
      </c>
      <c r="P51" s="37"/>
    </row>
    <row r="52" spans="1:16" x14ac:dyDescent="0.2">
      <c r="A52" s="37"/>
      <c r="B52" s="38"/>
      <c r="C52" s="38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</row>
    <row r="53" spans="1:16" x14ac:dyDescent="0.2">
      <c r="A53" s="37"/>
      <c r="B53" s="39"/>
      <c r="C53" s="38"/>
      <c r="D53" s="37"/>
      <c r="E53" s="37"/>
      <c r="F53" s="37"/>
      <c r="G53" s="37" t="s">
        <v>47</v>
      </c>
      <c r="H53" s="37" t="s">
        <v>41</v>
      </c>
      <c r="I53" s="39" t="s">
        <v>48</v>
      </c>
      <c r="J53" s="37"/>
      <c r="K53" s="37">
        <f>20*9.716*10</f>
        <v>1943.1999999999998</v>
      </c>
      <c r="L53" s="37"/>
      <c r="M53" s="37"/>
      <c r="N53" s="37"/>
      <c r="O53" s="37"/>
      <c r="P53" s="37"/>
    </row>
    <row r="54" spans="1:16" x14ac:dyDescent="0.2">
      <c r="A54" s="37"/>
      <c r="B54" s="38"/>
      <c r="C54" s="38"/>
      <c r="D54" s="37"/>
      <c r="E54" s="37"/>
      <c r="F54" s="37"/>
      <c r="G54" s="37"/>
      <c r="H54" s="37" t="s">
        <v>42</v>
      </c>
      <c r="I54" s="39" t="s">
        <v>49</v>
      </c>
      <c r="J54" s="37"/>
      <c r="K54" s="37">
        <f>20*8.233 *10</f>
        <v>1646.6000000000004</v>
      </c>
      <c r="L54" s="37"/>
      <c r="M54" s="37"/>
      <c r="N54" s="37"/>
      <c r="O54" s="37"/>
      <c r="P54" s="37"/>
    </row>
    <row r="55" spans="1:16" x14ac:dyDescent="0.2">
      <c r="A55" s="37"/>
      <c r="B55" s="38"/>
      <c r="C55" s="38"/>
      <c r="D55" s="37"/>
      <c r="E55" s="37"/>
      <c r="F55" s="37"/>
      <c r="G55" s="37"/>
      <c r="H55" s="37" t="s">
        <v>43</v>
      </c>
      <c r="I55" s="39" t="s">
        <v>50</v>
      </c>
      <c r="J55" s="37"/>
      <c r="K55" s="37">
        <f>20*8.583 *10</f>
        <v>1716.6</v>
      </c>
      <c r="L55" s="37"/>
      <c r="M55" s="37"/>
      <c r="N55" s="37"/>
      <c r="O55" s="37"/>
      <c r="P55" s="37"/>
    </row>
    <row r="56" spans="1:16" x14ac:dyDescent="0.2">
      <c r="A56" s="37"/>
      <c r="B56" s="38"/>
      <c r="C56" s="38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</row>
    <row r="57" spans="1:16" x14ac:dyDescent="0.2">
      <c r="A57" s="37"/>
      <c r="B57" s="38"/>
      <c r="C57" s="38"/>
      <c r="D57" s="37"/>
      <c r="E57" s="37"/>
      <c r="F57" s="37"/>
      <c r="G57" s="37" t="s">
        <v>51</v>
      </c>
      <c r="H57" s="37" t="s">
        <v>41</v>
      </c>
      <c r="I57" s="37">
        <f>K49+K53</f>
        <v>2686.7459999999996</v>
      </c>
      <c r="J57" s="37"/>
      <c r="K57" s="37"/>
      <c r="L57" s="37"/>
      <c r="M57" s="37"/>
      <c r="N57" s="37"/>
      <c r="O57" s="37"/>
      <c r="P57" s="37"/>
    </row>
    <row r="58" spans="1:16" x14ac:dyDescent="0.2">
      <c r="A58" s="37"/>
      <c r="B58" s="38"/>
      <c r="C58" s="38"/>
      <c r="D58" s="37"/>
      <c r="E58" s="37"/>
      <c r="F58" s="37"/>
      <c r="G58" s="37"/>
      <c r="H58" s="37" t="s">
        <v>42</v>
      </c>
      <c r="I58" s="37">
        <f>K50+K54</f>
        <v>2174.3820000000005</v>
      </c>
      <c r="J58" s="37"/>
      <c r="K58" s="37"/>
      <c r="L58" s="37"/>
      <c r="M58" s="37"/>
      <c r="N58" s="37"/>
      <c r="O58" s="37"/>
      <c r="P58" s="37"/>
    </row>
    <row r="59" spans="1:16" x14ac:dyDescent="0.2">
      <c r="A59" s="37"/>
      <c r="B59" s="38"/>
      <c r="C59" s="38"/>
      <c r="D59" s="37"/>
      <c r="E59" s="37"/>
      <c r="F59" s="37"/>
      <c r="G59" s="37"/>
      <c r="H59" s="37" t="s">
        <v>43</v>
      </c>
      <c r="I59" s="37">
        <f>K51+K55</f>
        <v>2277.0050000000001</v>
      </c>
      <c r="J59" s="37"/>
      <c r="K59" s="37"/>
      <c r="L59" s="37"/>
      <c r="M59" s="37"/>
      <c r="N59" s="37"/>
      <c r="O59" s="37"/>
      <c r="P59" s="37"/>
    </row>
    <row r="60" spans="1:16" x14ac:dyDescent="0.2">
      <c r="A60" s="37"/>
      <c r="B60" s="38"/>
      <c r="C60" s="38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</row>
    <row r="61" spans="1:16" x14ac:dyDescent="0.2">
      <c r="A61" s="37"/>
      <c r="B61" s="38"/>
      <c r="C61" s="38"/>
      <c r="D61" s="37"/>
      <c r="E61" s="37"/>
      <c r="F61" s="37"/>
      <c r="G61" s="37" t="s">
        <v>52</v>
      </c>
      <c r="H61" s="37" t="s">
        <v>42</v>
      </c>
      <c r="I61" s="39" t="s">
        <v>53</v>
      </c>
      <c r="J61" s="37"/>
      <c r="K61" s="37">
        <f>I57-I58</f>
        <v>512.36399999999912</v>
      </c>
      <c r="L61" s="37"/>
      <c r="M61" s="37"/>
      <c r="N61" s="37"/>
      <c r="O61" s="37"/>
      <c r="P61" s="37"/>
    </row>
    <row r="62" spans="1:16" x14ac:dyDescent="0.2">
      <c r="A62" s="37"/>
      <c r="B62" s="37"/>
      <c r="C62" s="37"/>
      <c r="D62" s="37"/>
      <c r="E62" s="37"/>
      <c r="F62" s="37"/>
      <c r="G62" s="37"/>
      <c r="H62" s="37" t="s">
        <v>43</v>
      </c>
      <c r="I62" s="39" t="s">
        <v>54</v>
      </c>
      <c r="J62" s="37"/>
      <c r="K62" s="37">
        <f>I57-I59</f>
        <v>409.74099999999953</v>
      </c>
      <c r="L62" s="37"/>
      <c r="M62" s="37"/>
      <c r="N62" s="37"/>
      <c r="O62" s="37"/>
      <c r="P62" s="37"/>
    </row>
    <row r="63" spans="1:16" x14ac:dyDescent="0.2">
      <c r="I63" s="36"/>
    </row>
    <row r="64" spans="1:16" x14ac:dyDescent="0.2">
      <c r="A64" s="1" t="s">
        <v>30</v>
      </c>
    </row>
    <row r="66" spans="1:9" x14ac:dyDescent="0.2">
      <c r="C66" s="25"/>
      <c r="D66" s="26" t="s">
        <v>0</v>
      </c>
      <c r="E66" s="26" t="s">
        <v>1</v>
      </c>
      <c r="F66" s="26" t="s">
        <v>13</v>
      </c>
      <c r="G66" s="26" t="s">
        <v>24</v>
      </c>
      <c r="H66" s="26" t="s">
        <v>31</v>
      </c>
    </row>
    <row r="67" spans="1:9" x14ac:dyDescent="0.2">
      <c r="C67" s="27" t="s">
        <v>4</v>
      </c>
      <c r="D67">
        <v>583</v>
      </c>
      <c r="E67">
        <v>230.2</v>
      </c>
      <c r="F67">
        <v>14</v>
      </c>
      <c r="G67">
        <v>100</v>
      </c>
      <c r="H67" t="s">
        <v>32</v>
      </c>
    </row>
    <row r="68" spans="1:9" x14ac:dyDescent="0.2">
      <c r="C68" s="28" t="s">
        <v>5</v>
      </c>
      <c r="D68" s="29">
        <v>494</v>
      </c>
      <c r="E68" s="29">
        <v>163.4</v>
      </c>
      <c r="F68" s="29">
        <v>10</v>
      </c>
      <c r="G68" s="29">
        <v>100</v>
      </c>
      <c r="H68" s="29" t="s">
        <v>58</v>
      </c>
      <c r="I68" s="29"/>
    </row>
    <row r="69" spans="1:9" x14ac:dyDescent="0.2">
      <c r="C69" s="27" t="s">
        <v>6</v>
      </c>
      <c r="D69">
        <v>515</v>
      </c>
      <c r="E69">
        <v>173.5</v>
      </c>
      <c r="F69">
        <v>13</v>
      </c>
      <c r="G69">
        <v>100</v>
      </c>
      <c r="H69" t="s">
        <v>57</v>
      </c>
    </row>
    <row r="72" spans="1:9" x14ac:dyDescent="0.2">
      <c r="A72" s="1" t="s">
        <v>33</v>
      </c>
    </row>
    <row r="73" spans="1:9" x14ac:dyDescent="0.2">
      <c r="C73" t="s">
        <v>0</v>
      </c>
      <c r="D73" t="s">
        <v>1</v>
      </c>
      <c r="E73" t="s">
        <v>13</v>
      </c>
      <c r="F73" t="s">
        <v>31</v>
      </c>
      <c r="G73" t="s">
        <v>55</v>
      </c>
    </row>
    <row r="74" spans="1:9" x14ac:dyDescent="0.2">
      <c r="B74" t="s">
        <v>5</v>
      </c>
      <c r="C74">
        <f>D67-D68</f>
        <v>89</v>
      </c>
      <c r="D74">
        <f>E67-E68</f>
        <v>66.799999999999983</v>
      </c>
      <c r="E74">
        <f>F67-F68</f>
        <v>4</v>
      </c>
      <c r="F74">
        <f>319.89-246.27</f>
        <v>73.619999999999976</v>
      </c>
      <c r="G74">
        <v>512.36400000000003</v>
      </c>
    </row>
    <row r="76" spans="1:9" x14ac:dyDescent="0.2">
      <c r="A76" t="s">
        <v>38</v>
      </c>
      <c r="B76" t="s">
        <v>38</v>
      </c>
      <c r="C76" t="s">
        <v>38</v>
      </c>
      <c r="D76" t="s">
        <v>38</v>
      </c>
      <c r="E76" t="s">
        <v>38</v>
      </c>
      <c r="F76" t="s">
        <v>38</v>
      </c>
    </row>
    <row r="77" spans="1:9" ht="19" x14ac:dyDescent="0.25">
      <c r="A77" t="s">
        <v>38</v>
      </c>
      <c r="B77" s="33" t="s">
        <v>34</v>
      </c>
      <c r="C77" s="34"/>
      <c r="D77" s="34"/>
      <c r="E77" s="32"/>
      <c r="F77" t="s">
        <v>38</v>
      </c>
    </row>
    <row r="78" spans="1:9" ht="19" x14ac:dyDescent="0.25">
      <c r="A78" t="s">
        <v>38</v>
      </c>
      <c r="B78" s="30"/>
      <c r="D78" s="35" t="s">
        <v>35</v>
      </c>
      <c r="E78" s="3"/>
      <c r="F78" t="s">
        <v>38</v>
      </c>
    </row>
    <row r="79" spans="1:9" ht="19" x14ac:dyDescent="0.25">
      <c r="A79" t="s">
        <v>38</v>
      </c>
      <c r="B79" s="30"/>
      <c r="D79" s="35" t="s">
        <v>36</v>
      </c>
      <c r="E79" s="3"/>
      <c r="F79" t="s">
        <v>38</v>
      </c>
    </row>
    <row r="80" spans="1:9" ht="19" x14ac:dyDescent="0.25">
      <c r="A80" t="s">
        <v>38</v>
      </c>
      <c r="B80" s="30"/>
      <c r="D80" s="35" t="s">
        <v>37</v>
      </c>
      <c r="E80" s="3"/>
      <c r="F80" t="s">
        <v>38</v>
      </c>
    </row>
    <row r="81" spans="1:6" ht="19" x14ac:dyDescent="0.25">
      <c r="A81" t="s">
        <v>38</v>
      </c>
      <c r="B81" s="30"/>
      <c r="D81" s="35" t="s">
        <v>59</v>
      </c>
      <c r="E81" s="3"/>
      <c r="F81" t="s">
        <v>38</v>
      </c>
    </row>
    <row r="82" spans="1:6" ht="19" x14ac:dyDescent="0.25">
      <c r="A82" t="s">
        <v>38</v>
      </c>
      <c r="B82" s="31"/>
      <c r="C82" s="5"/>
      <c r="D82" s="40">
        <v>512.36400000000003</v>
      </c>
      <c r="E82" s="4"/>
      <c r="F82" t="s">
        <v>38</v>
      </c>
    </row>
    <row r="83" spans="1:6" x14ac:dyDescent="0.2">
      <c r="A83" t="s">
        <v>38</v>
      </c>
      <c r="B83" t="s">
        <v>38</v>
      </c>
      <c r="C83" t="s">
        <v>38</v>
      </c>
      <c r="D83" t="s">
        <v>38</v>
      </c>
      <c r="E83" t="s">
        <v>38</v>
      </c>
      <c r="F83" t="s"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Lizzie Margaret Healy</dc:creator>
  <cp:lastModifiedBy>Lizzie Margaret Healy</cp:lastModifiedBy>
  <dcterms:created xsi:type="dcterms:W3CDTF">2025-12-01T23:31:18Z</dcterms:created>
  <dcterms:modified xsi:type="dcterms:W3CDTF">2025-12-02T00:27:41Z</dcterms:modified>
</cp:coreProperties>
</file>